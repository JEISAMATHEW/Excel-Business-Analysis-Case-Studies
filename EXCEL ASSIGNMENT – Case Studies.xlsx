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3.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5.xml" ContentType="application/vnd.openxmlformats-officedocument.drawing+xml"/>
  <Override PartName="/xl/tables/table6.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66925"/>
  <mc:AlternateContent xmlns:mc="http://schemas.openxmlformats.org/markup-compatibility/2006">
    <mc:Choice Requires="x15">
      <x15ac:absPath xmlns:x15ac="http://schemas.microsoft.com/office/spreadsheetml/2010/11/ac" url="D:\Data-Analytics-Portfolio\Business Case Studies\"/>
    </mc:Choice>
  </mc:AlternateContent>
  <xr:revisionPtr revIDLastSave="0" documentId="13_ncr:1_{B2890E6D-DF0E-4EF7-8A56-BA449BFD3568}" xr6:coauthVersionLast="47" xr6:coauthVersionMax="47" xr10:uidLastSave="{00000000-0000-0000-0000-000000000000}"/>
  <bookViews>
    <workbookView xWindow="-108" yWindow="-108" windowWidth="23256" windowHeight="12456" activeTab="5" xr2:uid="{9B6CED88-EF8A-43E3-84B0-D97CCB5DA82B}"/>
  </bookViews>
  <sheets>
    <sheet name="CaseStudy-1" sheetId="3" r:id="rId1"/>
    <sheet name="Case Study 2" sheetId="5" r:id="rId2"/>
    <sheet name="Forecast Sheet" sheetId="20" r:id="rId3"/>
    <sheet name="CaseStudy-3" sheetId="18" r:id="rId4"/>
    <sheet name="Scenario Summary" sheetId="19" r:id="rId5"/>
    <sheet name="CaseStudy-4" sheetId="2" r:id="rId6"/>
  </sheets>
  <calcPr calcId="191029"/>
  <pivotCaches>
    <pivotCache cacheId="0" r:id="rId7"/>
    <pivotCache cacheId="1" r:id="rId8"/>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7" i="5" l="1"/>
  <c r="D18" i="5"/>
  <c r="D19" i="5"/>
  <c r="D20" i="5"/>
  <c r="D21" i="5"/>
  <c r="D22" i="5"/>
  <c r="D16" i="5"/>
  <c r="C20" i="20"/>
  <c r="C19" i="20"/>
  <c r="C18" i="20"/>
  <c r="C17" i="20"/>
  <c r="C16" i="20"/>
  <c r="C15" i="20"/>
  <c r="C14" i="20"/>
  <c r="H3" i="18"/>
  <c r="H4" i="18"/>
  <c r="C5" i="18"/>
  <c r="H5" i="18"/>
  <c r="K3" i="3"/>
  <c r="K4" i="3"/>
  <c r="K5" i="3"/>
  <c r="K6" i="3"/>
  <c r="K7" i="3"/>
  <c r="K8" i="3"/>
  <c r="K9" i="3"/>
  <c r="J3" i="3"/>
  <c r="J4" i="3"/>
  <c r="J5" i="3"/>
  <c r="J6" i="3"/>
  <c r="J7" i="3"/>
  <c r="J8" i="3"/>
  <c r="J9" i="3"/>
  <c r="G3" i="3"/>
  <c r="G4" i="3"/>
  <c r="G5" i="3"/>
  <c r="G6" i="3"/>
  <c r="G7" i="3"/>
  <c r="G8" i="3"/>
  <c r="G9" i="3"/>
  <c r="F3" i="3"/>
  <c r="I3" i="3" s="1"/>
  <c r="F4" i="3"/>
  <c r="I4" i="3" s="1"/>
  <c r="F5" i="3"/>
  <c r="I5" i="3" s="1"/>
  <c r="F6" i="3"/>
  <c r="I6" i="3" s="1"/>
  <c r="F7" i="3"/>
  <c r="I7" i="3" s="1"/>
  <c r="F8" i="3"/>
  <c r="I8" i="3" s="1"/>
  <c r="F9" i="3"/>
  <c r="I9" i="3" s="1"/>
  <c r="G5" i="2"/>
  <c r="H5" i="2" s="1"/>
  <c r="I5" i="2" s="1"/>
  <c r="J5" i="2" s="1"/>
  <c r="G4" i="2"/>
  <c r="H4" i="2" s="1"/>
  <c r="I4" i="2" s="1"/>
  <c r="J4" i="2" s="1"/>
  <c r="H3" i="2"/>
  <c r="I3" i="2" s="1"/>
  <c r="J3" i="2" s="1"/>
  <c r="G3" i="2"/>
</calcChain>
</file>

<file path=xl/sharedStrings.xml><?xml version="1.0" encoding="utf-8"?>
<sst xmlns="http://schemas.openxmlformats.org/spreadsheetml/2006/main" count="112" uniqueCount="79">
  <si>
    <t>Scenario</t>
  </si>
  <si>
    <t>Sales</t>
  </si>
  <si>
    <t>Fixed Expenses</t>
  </si>
  <si>
    <t>Variable Cost %</t>
  </si>
  <si>
    <t>Marketing Cost</t>
  </si>
  <si>
    <t>Best Case</t>
  </si>
  <si>
    <t>Normal Case</t>
  </si>
  <si>
    <t>Worst Case</t>
  </si>
  <si>
    <t>Variable Cost</t>
  </si>
  <si>
    <t>Total Expenses</t>
  </si>
  <si>
    <t>Profit</t>
  </si>
  <si>
    <t>Profit Margin %</t>
  </si>
  <si>
    <t>Row Labels</t>
  </si>
  <si>
    <t>Grand Total</t>
  </si>
  <si>
    <t>Sum of Profit</t>
  </si>
  <si>
    <t>Sum of Sales</t>
  </si>
  <si>
    <t>Sum of Total Expenses</t>
  </si>
  <si>
    <t>Task ID</t>
  </si>
  <si>
    <t>Task Name</t>
  </si>
  <si>
    <t>Start Date</t>
  </si>
  <si>
    <t>End Date</t>
  </si>
  <si>
    <t>T1</t>
  </si>
  <si>
    <t>Requirement Gathering</t>
  </si>
  <si>
    <t>T2</t>
  </si>
  <si>
    <t>Requirement Analysis</t>
  </si>
  <si>
    <t>T3</t>
  </si>
  <si>
    <t>UI/UX Design</t>
  </si>
  <si>
    <t>T4</t>
  </si>
  <si>
    <t>Frontend Development</t>
  </si>
  <si>
    <t>T5</t>
  </si>
  <si>
    <t>Backend Development</t>
  </si>
  <si>
    <t>T6</t>
  </si>
  <si>
    <t>Testing</t>
  </si>
  <si>
    <t>T7</t>
  </si>
  <si>
    <t>Deployment</t>
  </si>
  <si>
    <t>Duration</t>
  </si>
  <si>
    <t>Month</t>
  </si>
  <si>
    <t>Sales (₹)</t>
  </si>
  <si>
    <t>Case Study 3: What-If Analysis and Scenario Manager</t>
  </si>
  <si>
    <t>Case Study 4: Compare Different Business Scenarios</t>
  </si>
  <si>
    <t>Case Study 1: Gantt Chart</t>
  </si>
  <si>
    <t>Particular</t>
  </si>
  <si>
    <t>Value</t>
  </si>
  <si>
    <t>Expenses</t>
  </si>
  <si>
    <t>Sep</t>
  </si>
  <si>
    <t>Oct</t>
  </si>
  <si>
    <t>Jan</t>
  </si>
  <si>
    <t>Feb</t>
  </si>
  <si>
    <t>Mar</t>
  </si>
  <si>
    <t>Apr</t>
  </si>
  <si>
    <t>May</t>
  </si>
  <si>
    <t>Jun</t>
  </si>
  <si>
    <t>Jul</t>
  </si>
  <si>
    <t>Aug</t>
  </si>
  <si>
    <t>Nov</t>
  </si>
  <si>
    <t>Dec</t>
  </si>
  <si>
    <t>Sum of Sales (₹)</t>
  </si>
  <si>
    <t>Progress</t>
  </si>
  <si>
    <t>$C$3</t>
  </si>
  <si>
    <t>$C$4</t>
  </si>
  <si>
    <t>$C$5</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</si>
  <si>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</si>
  <si>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</si>
  <si>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</si>
  <si>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</si>
  <si>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</si>
  <si>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</si>
  <si>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</si>
  <si>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Start Offset</t>
  </si>
  <si>
    <t>InProgress</t>
  </si>
  <si>
    <t>Pending</t>
  </si>
  <si>
    <t>Completed</t>
  </si>
  <si>
    <t>Created by Jeisa Mathew on 22-08-2026</t>
  </si>
  <si>
    <t>Case Study 2: Sales Monthly Trend Line</t>
  </si>
  <si>
    <t>Forecast(Sales (₹))</t>
  </si>
  <si>
    <t>2026</t>
  </si>
  <si>
    <t>2027</t>
  </si>
  <si>
    <t>Sales Forecast(₹)</t>
  </si>
  <si>
    <t>Sum of Sales Forecast(₹)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</si>
</sst>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6" x14ac:knownFonts="1">
    <font>
      <sz val="11"/>
      <color theme="1"/>
      <name val="Calibri"/>
      <family val="2"/>
      <scheme val="minor"/>
    </font>
    <font>
      <sz val="11"/>
      <color theme="1"/>
      <name val="Calibri"/>
      <family val="2"/>
      <scheme val="minor"/>
    </font>
    <font>
      <b/>
      <sz val="10"/>
      <color theme="1"/>
      <name val="Arial Narrow"/>
      <family val="2"/>
    </font>
    <font>
      <b/>
      <sz val="20"/>
      <color rgb="FF7030A0"/>
      <name val="Arial Black"/>
      <family val="2"/>
    </font>
    <font>
      <sz val="10"/>
      <color theme="1"/>
      <name val="Symbol"/>
      <family val="1"/>
      <charset val="2"/>
    </font>
    <font>
      <b/>
      <sz val="11"/>
      <color theme="1"/>
      <name val="Arial Narrow"/>
      <family val="2"/>
    </font>
    <font>
      <b/>
      <sz val="10"/>
      <color rgb="FFFFFFFF"/>
      <name val="Arial Narrow"/>
      <family val="2"/>
    </font>
    <font>
      <b/>
      <sz val="10"/>
      <color rgb="FF000000"/>
      <name val="Arial Narrow"/>
      <family val="2"/>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b/>
      <sz val="20"/>
      <color rgb="FF7030A0"/>
      <name val="Arial Narrow"/>
      <family val="2"/>
    </font>
    <font>
      <b/>
      <sz val="16"/>
      <color rgb="FF7030A0"/>
      <name val="Arial Narrow"/>
      <family val="2"/>
    </font>
    <font>
      <b/>
      <sz val="14"/>
      <color theme="1"/>
      <name val="Arial Narrow"/>
      <family val="2"/>
    </font>
  </fonts>
  <fills count="7">
    <fill>
      <patternFill patternType="none"/>
    </fill>
    <fill>
      <patternFill patternType="gray125"/>
    </fill>
    <fill>
      <patternFill patternType="solid">
        <fgColor rgb="FF4472C4"/>
        <bgColor rgb="FF4472C4"/>
      </patternFill>
    </fill>
    <fill>
      <patternFill patternType="solid">
        <fgColor rgb="FFD9E1F2"/>
        <bgColor rgb="FFD9E1F2"/>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2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bottom style="medium">
        <color indexed="64"/>
      </bottom>
      <diagonal/>
    </border>
    <border>
      <left style="thin">
        <color indexed="64"/>
      </left>
      <right style="thin">
        <color indexed="64"/>
      </right>
      <top style="thin">
        <color rgb="FF8EA9DB"/>
      </top>
      <bottom style="thin">
        <color indexed="64"/>
      </bottom>
      <diagonal/>
    </border>
    <border>
      <left/>
      <right style="thin">
        <color indexed="64"/>
      </right>
      <top style="thin">
        <color rgb="FF8EA9DB"/>
      </top>
      <bottom style="thin">
        <color indexed="64"/>
      </bottom>
      <diagonal/>
    </border>
    <border>
      <left style="thin">
        <color indexed="64"/>
      </left>
      <right/>
      <top style="thin">
        <color rgb="FF8EA9DB"/>
      </top>
      <bottom style="thin">
        <color indexed="64"/>
      </bottom>
      <diagonal/>
    </border>
    <border>
      <left style="thin">
        <color indexed="64"/>
      </left>
      <right/>
      <top style="thin">
        <color rgb="FF8EA9DB"/>
      </top>
      <bottom/>
      <diagonal/>
    </border>
    <border>
      <left/>
      <right/>
      <top style="medium">
        <color indexed="64"/>
      </top>
      <bottom/>
      <diagonal/>
    </border>
    <border>
      <left/>
      <right/>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77">
    <xf numFmtId="0" fontId="0" fillId="0" borderId="0" xfId="0"/>
    <xf numFmtId="3" fontId="0" fillId="0" borderId="0" xfId="0" applyNumberFormat="1"/>
    <xf numFmtId="0" fontId="0" fillId="0" borderId="0" xfId="0" applyAlignment="1">
      <alignment horizontal="left"/>
    </xf>
    <xf numFmtId="0" fontId="4" fillId="0" borderId="0" xfId="0" applyFont="1" applyAlignment="1">
      <alignment horizontal="left" vertical="center" indent="2"/>
    </xf>
    <xf numFmtId="0" fontId="3" fillId="0" borderId="0" xfId="0" applyFont="1" applyAlignment="1">
      <alignment vertical="center"/>
    </xf>
    <xf numFmtId="3" fontId="2" fillId="0" borderId="0" xfId="0" applyNumberFormat="1" applyFont="1" applyAlignment="1">
      <alignment horizontal="left" vertical="center" wrapText="1"/>
    </xf>
    <xf numFmtId="4" fontId="2" fillId="0" borderId="0" xfId="0" applyNumberFormat="1" applyFont="1" applyAlignment="1">
      <alignment horizontal="left" vertical="center" wrapText="1"/>
    </xf>
    <xf numFmtId="0" fontId="2" fillId="0" borderId="8" xfId="0" applyFont="1" applyBorder="1" applyAlignment="1">
      <alignment vertical="center"/>
    </xf>
    <xf numFmtId="0" fontId="2" fillId="0" borderId="2" xfId="0" applyFont="1" applyBorder="1" applyAlignment="1">
      <alignment vertical="center"/>
    </xf>
    <xf numFmtId="0" fontId="2" fillId="0" borderId="5" xfId="0" applyFont="1" applyBorder="1" applyAlignment="1">
      <alignment vertical="center"/>
    </xf>
    <xf numFmtId="0" fontId="2" fillId="0" borderId="6" xfId="0" applyFont="1" applyBorder="1" applyAlignment="1">
      <alignment vertical="center"/>
    </xf>
    <xf numFmtId="0" fontId="0" fillId="0" borderId="0" xfId="0" pivotButton="1"/>
    <xf numFmtId="3" fontId="5" fillId="0" borderId="1" xfId="0" applyNumberFormat="1" applyFont="1" applyBorder="1" applyAlignment="1">
      <alignment horizontal="left" vertical="center"/>
    </xf>
    <xf numFmtId="0" fontId="5" fillId="0" borderId="2" xfId="0" applyFont="1" applyBorder="1" applyAlignment="1">
      <alignment horizontal="left" vertical="center"/>
    </xf>
    <xf numFmtId="0" fontId="5" fillId="0" borderId="8" xfId="0" applyFont="1" applyBorder="1" applyAlignment="1">
      <alignment horizontal="left" vertical="center"/>
    </xf>
    <xf numFmtId="3" fontId="5" fillId="0" borderId="3" xfId="0" applyNumberFormat="1" applyFont="1" applyBorder="1" applyAlignment="1">
      <alignment horizontal="left" vertical="center"/>
    </xf>
    <xf numFmtId="9" fontId="5" fillId="0" borderId="3" xfId="1" applyFont="1" applyBorder="1" applyAlignment="1">
      <alignment horizontal="left" vertical="center"/>
    </xf>
    <xf numFmtId="4" fontId="5" fillId="0" borderId="3" xfId="0" applyNumberFormat="1" applyFont="1" applyBorder="1" applyAlignment="1">
      <alignment horizontal="left" vertical="center"/>
    </xf>
    <xf numFmtId="0" fontId="5" fillId="0" borderId="5" xfId="0" applyFont="1" applyBorder="1" applyAlignment="1">
      <alignment horizontal="left" vertical="center"/>
    </xf>
    <xf numFmtId="9" fontId="5" fillId="0" borderId="1" xfId="1" applyFont="1" applyBorder="1" applyAlignment="1">
      <alignment horizontal="left" vertical="center"/>
    </xf>
    <xf numFmtId="4" fontId="5" fillId="0" borderId="1" xfId="0" applyNumberFormat="1" applyFont="1" applyBorder="1" applyAlignment="1">
      <alignment horizontal="left" vertical="center"/>
    </xf>
    <xf numFmtId="0" fontId="5" fillId="0" borderId="6" xfId="0" applyFont="1" applyBorder="1" applyAlignment="1">
      <alignment horizontal="left" vertical="center"/>
    </xf>
    <xf numFmtId="3" fontId="5" fillId="0" borderId="7" xfId="0" applyNumberFormat="1" applyFont="1" applyBorder="1" applyAlignment="1">
      <alignment horizontal="left" vertical="center"/>
    </xf>
    <xf numFmtId="9" fontId="5" fillId="0" borderId="7" xfId="1" applyFont="1" applyBorder="1" applyAlignment="1">
      <alignment horizontal="left" vertical="center"/>
    </xf>
    <xf numFmtId="4" fontId="5" fillId="0" borderId="7" xfId="0" applyNumberFormat="1" applyFont="1" applyBorder="1" applyAlignment="1">
      <alignment horizontal="left" vertical="center"/>
    </xf>
    <xf numFmtId="3" fontId="2" fillId="0" borderId="4" xfId="0" applyNumberFormat="1" applyFont="1" applyBorder="1" applyAlignment="1">
      <alignment vertical="center"/>
    </xf>
    <xf numFmtId="3" fontId="2" fillId="0" borderId="9" xfId="0" applyNumberFormat="1" applyFont="1" applyBorder="1" applyAlignment="1">
      <alignment vertical="center"/>
    </xf>
    <xf numFmtId="3" fontId="2" fillId="0" borderId="10" xfId="0" applyNumberFormat="1" applyFont="1" applyBorder="1" applyAlignment="1">
      <alignment vertical="center"/>
    </xf>
    <xf numFmtId="0" fontId="6" fillId="2" borderId="8" xfId="0" applyFont="1" applyFill="1" applyBorder="1" applyAlignment="1">
      <alignment horizontal="left" vertical="center"/>
    </xf>
    <xf numFmtId="3" fontId="7" fillId="3" borderId="12" xfId="0" applyNumberFormat="1" applyFont="1" applyFill="1" applyBorder="1" applyAlignment="1">
      <alignment horizontal="left" vertical="center"/>
    </xf>
    <xf numFmtId="3" fontId="7" fillId="0" borderId="1" xfId="0" applyNumberFormat="1" applyFont="1" applyBorder="1" applyAlignment="1">
      <alignment horizontal="left" vertical="center"/>
    </xf>
    <xf numFmtId="0" fontId="7" fillId="3" borderId="13" xfId="0" applyFont="1" applyFill="1" applyBorder="1" applyAlignment="1">
      <alignment horizontal="left" vertical="center"/>
    </xf>
    <xf numFmtId="3" fontId="7" fillId="3" borderId="14" xfId="0" applyNumberFormat="1" applyFont="1" applyFill="1" applyBorder="1" applyAlignment="1">
      <alignment horizontal="left" vertical="center"/>
    </xf>
    <xf numFmtId="0" fontId="7" fillId="0" borderId="5" xfId="0" applyFont="1" applyBorder="1" applyAlignment="1">
      <alignment horizontal="left" vertical="center"/>
    </xf>
    <xf numFmtId="0" fontId="7" fillId="3" borderId="6" xfId="0" applyFont="1" applyFill="1" applyBorder="1" applyAlignment="1">
      <alignment horizontal="left" vertical="center"/>
    </xf>
    <xf numFmtId="3" fontId="7" fillId="3" borderId="7" xfId="0" applyNumberFormat="1" applyFont="1" applyFill="1" applyBorder="1" applyAlignment="1">
      <alignment horizontal="left" vertical="center"/>
    </xf>
    <xf numFmtId="3" fontId="7" fillId="3" borderId="15" xfId="0" applyNumberFormat="1" applyFont="1" applyFill="1" applyBorder="1" applyAlignment="1">
      <alignment horizontal="left" vertical="center"/>
    </xf>
    <xf numFmtId="17" fontId="0" fillId="0" borderId="0" xfId="0" applyNumberFormat="1"/>
    <xf numFmtId="0" fontId="8" fillId="4" borderId="17" xfId="0" applyFont="1" applyFill="1" applyBorder="1" applyAlignment="1">
      <alignment horizontal="left"/>
    </xf>
    <xf numFmtId="0" fontId="8" fillId="4" borderId="16" xfId="0" applyFont="1" applyFill="1" applyBorder="1" applyAlignment="1">
      <alignment horizontal="left"/>
    </xf>
    <xf numFmtId="0" fontId="10" fillId="5" borderId="18" xfId="0" applyFont="1" applyFill="1" applyBorder="1" applyAlignment="1">
      <alignment horizontal="left"/>
    </xf>
    <xf numFmtId="0" fontId="9" fillId="5" borderId="11" xfId="0" applyFont="1" applyFill="1" applyBorder="1" applyAlignment="1">
      <alignment horizontal="left"/>
    </xf>
    <xf numFmtId="0" fontId="11" fillId="4" borderId="16" xfId="0" applyFont="1" applyFill="1" applyBorder="1" applyAlignment="1">
      <alignment horizontal="right"/>
    </xf>
    <xf numFmtId="0" fontId="11" fillId="4" borderId="17" xfId="0" applyFont="1" applyFill="1" applyBorder="1" applyAlignment="1">
      <alignment horizontal="right"/>
    </xf>
    <xf numFmtId="0" fontId="14" fillId="0" borderId="0" xfId="0" applyFont="1" applyAlignment="1">
      <alignment vertical="center"/>
    </xf>
    <xf numFmtId="0" fontId="5" fillId="0" borderId="3" xfId="0" applyFont="1" applyBorder="1" applyAlignment="1">
      <alignment horizontal="left" vertical="center"/>
    </xf>
    <xf numFmtId="15" fontId="5" fillId="0" borderId="3" xfId="0" applyNumberFormat="1" applyFont="1" applyBorder="1" applyAlignment="1">
      <alignment horizontal="left" vertical="center"/>
    </xf>
    <xf numFmtId="0" fontId="5" fillId="0" borderId="1" xfId="0" applyFont="1" applyBorder="1" applyAlignment="1">
      <alignment horizontal="left" vertical="center"/>
    </xf>
    <xf numFmtId="15" fontId="5" fillId="0" borderId="1" xfId="0" applyNumberFormat="1" applyFont="1" applyBorder="1" applyAlignment="1">
      <alignment horizontal="left" vertical="center"/>
    </xf>
    <xf numFmtId="0" fontId="5" fillId="0" borderId="7" xfId="0" applyFont="1" applyBorder="1" applyAlignment="1">
      <alignment horizontal="left" vertical="center"/>
    </xf>
    <xf numFmtId="15" fontId="5" fillId="0" borderId="7" xfId="0" applyNumberFormat="1" applyFont="1" applyBorder="1" applyAlignment="1">
      <alignment horizontal="left" vertical="center"/>
    </xf>
    <xf numFmtId="164" fontId="0" fillId="0" borderId="8" xfId="0" applyNumberFormat="1" applyBorder="1"/>
    <xf numFmtId="2" fontId="5" fillId="0" borderId="3" xfId="0" applyNumberFormat="1" applyFont="1" applyBorder="1" applyAlignment="1">
      <alignment horizontal="left" vertical="center"/>
    </xf>
    <xf numFmtId="2" fontId="5" fillId="0" borderId="1" xfId="0" applyNumberFormat="1" applyFont="1" applyBorder="1" applyAlignment="1">
      <alignment horizontal="left" vertical="center"/>
    </xf>
    <xf numFmtId="2" fontId="5" fillId="0" borderId="7" xfId="0" applyNumberFormat="1" applyFont="1" applyBorder="1" applyAlignment="1">
      <alignment horizontal="left" vertical="center"/>
    </xf>
    <xf numFmtId="15" fontId="0" fillId="0" borderId="0" xfId="0" applyNumberFormat="1"/>
    <xf numFmtId="3" fontId="0" fillId="0" borderId="11" xfId="0" applyNumberFormat="1" applyBorder="1"/>
    <xf numFmtId="0" fontId="0" fillId="0" borderId="18" xfId="0" applyBorder="1"/>
    <xf numFmtId="0" fontId="9" fillId="5" borderId="0" xfId="0" applyFont="1" applyFill="1" applyAlignment="1">
      <alignment horizontal="left"/>
    </xf>
    <xf numFmtId="3" fontId="0" fillId="6" borderId="0" xfId="0" applyNumberFormat="1" applyFill="1"/>
    <xf numFmtId="0" fontId="12" fillId="0" borderId="0" xfId="0" applyFont="1" applyAlignment="1">
      <alignment vertical="top" wrapText="1"/>
    </xf>
    <xf numFmtId="0" fontId="0" fillId="0" borderId="0" xfId="0" applyAlignment="1">
      <alignment horizontal="left" indent="1"/>
    </xf>
    <xf numFmtId="1" fontId="0" fillId="0" borderId="0" xfId="0" applyNumberFormat="1"/>
    <xf numFmtId="0" fontId="15" fillId="0" borderId="8" xfId="0" applyFont="1" applyBorder="1" applyAlignment="1">
      <alignment horizontal="left" vertical="center"/>
    </xf>
    <xf numFmtId="0" fontId="15" fillId="0" borderId="19" xfId="0" applyFont="1" applyBorder="1" applyAlignment="1">
      <alignment horizontal="left" vertical="center"/>
    </xf>
    <xf numFmtId="3" fontId="15" fillId="0" borderId="1" xfId="0" applyNumberFormat="1" applyFont="1" applyBorder="1" applyAlignment="1">
      <alignment horizontal="left" vertical="center"/>
    </xf>
    <xf numFmtId="17" fontId="15" fillId="0" borderId="2" xfId="0" applyNumberFormat="1" applyFont="1" applyBorder="1" applyAlignment="1">
      <alignment horizontal="left" vertical="center"/>
    </xf>
    <xf numFmtId="3" fontId="15" fillId="0" borderId="4" xfId="0" applyNumberFormat="1" applyFont="1" applyBorder="1" applyAlignment="1">
      <alignment horizontal="left" vertical="center"/>
    </xf>
    <xf numFmtId="0" fontId="15" fillId="0" borderId="1" xfId="0" applyFont="1" applyBorder="1" applyAlignment="1">
      <alignment horizontal="left" vertical="center"/>
    </xf>
    <xf numFmtId="17" fontId="15" fillId="0" borderId="5" xfId="0" applyNumberFormat="1" applyFont="1" applyBorder="1" applyAlignment="1">
      <alignment horizontal="left" vertical="center"/>
    </xf>
    <xf numFmtId="3" fontId="15" fillId="0" borderId="9" xfId="0" applyNumberFormat="1" applyFont="1" applyBorder="1" applyAlignment="1">
      <alignment horizontal="left" vertical="center"/>
    </xf>
    <xf numFmtId="17" fontId="15" fillId="0" borderId="6" xfId="0" applyNumberFormat="1" applyFont="1" applyBorder="1" applyAlignment="1">
      <alignment horizontal="left" vertical="center"/>
    </xf>
    <xf numFmtId="3" fontId="15" fillId="0" borderId="10" xfId="0" applyNumberFormat="1" applyFont="1" applyBorder="1" applyAlignment="1">
      <alignment horizontal="left" vertical="center"/>
    </xf>
    <xf numFmtId="1" fontId="15" fillId="0" borderId="1" xfId="0" applyNumberFormat="1" applyFont="1" applyBorder="1"/>
    <xf numFmtId="0" fontId="13" fillId="0" borderId="11" xfId="0" applyFont="1" applyBorder="1" applyAlignment="1">
      <alignment horizontal="left" vertical="center"/>
    </xf>
    <xf numFmtId="0" fontId="3" fillId="0" borderId="0" xfId="0" applyFont="1" applyAlignment="1">
      <alignment horizontal="left" vertical="center"/>
    </xf>
    <xf numFmtId="0" fontId="3" fillId="0" borderId="11" xfId="0" applyFont="1" applyBorder="1" applyAlignment="1">
      <alignment horizontal="left" vertical="center"/>
    </xf>
  </cellXfs>
  <cellStyles count="2">
    <cellStyle name="Normal" xfId="0" builtinId="0"/>
    <cellStyle name="Percent" xfId="1" builtinId="5"/>
  </cellStyles>
  <dxfs count="49">
    <dxf>
      <font>
        <b/>
        <i val="0"/>
        <strike val="0"/>
        <condense val="0"/>
        <extend val="0"/>
        <outline val="0"/>
        <shadow val="0"/>
        <u val="none"/>
        <vertAlign val="baseline"/>
        <sz val="11"/>
        <color theme="1"/>
        <name val="Arial Narrow"/>
        <family val="2"/>
        <scheme val="none"/>
      </font>
      <numFmt numFmtId="4" formatCode="#,##0.00"/>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rial Narrow"/>
        <family val="2"/>
        <scheme val="none"/>
      </font>
      <numFmt numFmtId="3" formatCode="#,##0"/>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rial Narrow"/>
        <family val="2"/>
        <scheme val="none"/>
      </font>
      <numFmt numFmtId="3" formatCode="#,##0"/>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rial Narrow"/>
        <family val="2"/>
        <scheme val="none"/>
      </font>
      <numFmt numFmtId="3" formatCode="#,##0"/>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rial Narrow"/>
        <family val="2"/>
        <scheme val="none"/>
      </font>
      <numFmt numFmtId="3" formatCode="#,##0"/>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rial Narrow"/>
        <family val="2"/>
        <scheme val="none"/>
      </font>
      <numFmt numFmtId="0" formatCode="Genera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rial Narrow"/>
        <family val="2"/>
        <scheme val="none"/>
      </font>
      <numFmt numFmtId="3" formatCode="#,##0"/>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rial Narrow"/>
        <family val="2"/>
        <scheme val="none"/>
      </font>
      <numFmt numFmtId="3" formatCode="#,##0"/>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rial Narrow"/>
        <family val="2"/>
        <scheme val="none"/>
      </font>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theme="1"/>
        <name val="Arial Narrow"/>
        <family val="2"/>
        <scheme val="none"/>
      </font>
      <alignment horizontal="left" vertical="center" textRotation="0" wrapText="0" indent="0" justifyLastLine="0" shrinkToFit="0" readingOrder="0"/>
    </dxf>
    <dxf>
      <border>
        <bottom style="thin">
          <color rgb="FF000000"/>
        </bottom>
      </border>
    </dxf>
    <dxf>
      <font>
        <b/>
        <i val="0"/>
        <strike val="0"/>
        <condense val="0"/>
        <extend val="0"/>
        <outline val="0"/>
        <shadow val="0"/>
        <u val="none"/>
        <vertAlign val="baseline"/>
        <sz val="11"/>
        <color theme="1"/>
        <name val="Arial Narrow"/>
        <family val="2"/>
        <scheme val="none"/>
      </font>
      <alignment horizontal="left" vertical="center" textRotation="0" wrapText="0" indent="0" justifyLastLine="0" shrinkToFit="0" readingOrder="0"/>
      <border diagonalUp="0" diagonalDown="0" outline="0">
        <left style="thin">
          <color indexed="64"/>
        </left>
        <right style="thin">
          <color indexed="64"/>
        </right>
        <top/>
        <bottom/>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border diagonalUp="0" diagonalDown="0">
        <left style="medium">
          <color indexed="64"/>
        </left>
        <right style="medium">
          <color indexed="64"/>
        </right>
        <top/>
        <bottom/>
        <vertical style="medium">
          <color indexed="64"/>
        </vertical>
        <horizontal/>
      </border>
    </dxf>
    <dxf>
      <font>
        <b/>
        <i val="0"/>
        <strike val="0"/>
        <condense val="0"/>
        <extend val="0"/>
        <outline val="0"/>
        <shadow val="0"/>
        <u val="none"/>
        <vertAlign val="baseline"/>
        <sz val="10"/>
        <color theme="1"/>
        <name val="Arial Narrow"/>
        <family val="2"/>
        <scheme val="none"/>
      </font>
      <numFmt numFmtId="3" formatCode="#,##0"/>
      <alignment horizontal="general" vertical="center" textRotation="0" wrapText="0" indent="0" justifyLastLine="0" shrinkToFit="0" readingOrder="0"/>
      <border diagonalUp="0" diagonalDown="0">
        <left style="thin">
          <color indexed="64"/>
        </left>
        <right/>
        <top style="thin">
          <color indexed="64"/>
        </top>
        <bottom style="thin">
          <color indexed="64"/>
        </bottom>
      </border>
    </dxf>
    <dxf>
      <font>
        <b/>
        <i val="0"/>
        <strike val="0"/>
        <condense val="0"/>
        <extend val="0"/>
        <outline val="0"/>
        <shadow val="0"/>
        <u val="none"/>
        <vertAlign val="baseline"/>
        <sz val="10"/>
        <color theme="1"/>
        <name val="Arial Narrow"/>
        <family val="2"/>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font>
        <b/>
        <strike val="0"/>
        <outline val="0"/>
        <shadow val="0"/>
        <u val="none"/>
        <vertAlign val="baseline"/>
        <sz val="10"/>
        <color theme="1"/>
        <name val="Arial Narrow"/>
        <family val="2"/>
        <scheme val="none"/>
      </font>
      <alignment horizontal="general" vertical="center" textRotation="0" wrapText="0" indent="0" justifyLastLine="0" shrinkToFit="0" readingOrder="0"/>
    </dxf>
    <dxf>
      <border>
        <bottom style="medium">
          <color indexed="64"/>
        </bottom>
      </border>
    </dxf>
    <dxf>
      <font>
        <b/>
        <i val="0"/>
        <strike val="0"/>
        <condense val="0"/>
        <extend val="0"/>
        <outline val="0"/>
        <shadow val="0"/>
        <u val="none"/>
        <vertAlign val="baseline"/>
        <sz val="10"/>
        <color theme="1"/>
        <name val="Arial Narrow"/>
        <family val="2"/>
        <scheme val="none"/>
      </font>
      <alignment horizontal="general" vertical="center" textRotation="0" wrapText="0" indent="0" justifyLastLine="0" shrinkToFit="0" readingOrder="0"/>
      <border diagonalUp="0" diagonalDown="0">
        <left style="medium">
          <color indexed="64"/>
        </left>
        <right style="medium">
          <color indexed="64"/>
        </right>
        <top/>
        <bottom/>
        <vertical style="medium">
          <color indexed="64"/>
        </vertical>
        <horizontal/>
      </border>
    </dxf>
    <dxf>
      <numFmt numFmtId="3" formatCode="#,##0"/>
    </dxf>
    <dxf>
      <numFmt numFmtId="22" formatCode="mmm/yy"/>
    </dxf>
    <dxf>
      <font>
        <b/>
        <strike val="0"/>
        <outline val="0"/>
        <shadow val="0"/>
        <u val="none"/>
        <vertAlign val="baseline"/>
        <sz val="14"/>
        <color theme="1"/>
        <name val="Arial Narrow"/>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theme="1"/>
        <name val="Arial Narrow"/>
        <family val="2"/>
        <scheme val="none"/>
      </font>
      <numFmt numFmtId="3" formatCode="#,##0"/>
      <alignment horizontal="left" vertical="center" textRotation="0" wrapText="0" 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4"/>
        <color theme="1"/>
        <name val="Arial Narrow"/>
        <family val="2"/>
        <scheme val="none"/>
      </font>
      <numFmt numFmtId="22" formatCode="mmm/yy"/>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font>
        <b/>
        <strike val="0"/>
        <outline val="0"/>
        <shadow val="0"/>
        <u val="none"/>
        <vertAlign val="baseline"/>
        <sz val="14"/>
        <color theme="1"/>
        <name val="Arial Narrow"/>
        <family val="2"/>
        <scheme val="none"/>
      </font>
      <alignment horizontal="left" vertical="center" textRotation="0" wrapText="0" indent="0" justifyLastLine="0" shrinkToFit="0" readingOrder="0"/>
    </dxf>
    <dxf>
      <border>
        <bottom style="medium">
          <color indexed="64"/>
        </bottom>
      </border>
    </dxf>
    <dxf>
      <font>
        <b/>
        <i val="0"/>
        <strike val="0"/>
        <condense val="0"/>
        <extend val="0"/>
        <outline val="0"/>
        <shadow val="0"/>
        <u val="none"/>
        <vertAlign val="baseline"/>
        <sz val="14"/>
        <color theme="1"/>
        <name val="Arial Narrow"/>
        <family val="2"/>
        <scheme val="none"/>
      </font>
      <alignment horizontal="left" vertical="center" textRotation="0" wrapText="0" indent="0" justifyLastLine="0" shrinkToFit="0" readingOrder="0"/>
      <border diagonalUp="0" diagonalDown="0" outline="0">
        <left style="thin">
          <color indexed="64"/>
        </left>
        <right style="thin">
          <color indexed="64"/>
        </right>
        <top/>
        <bottom/>
      </border>
    </dxf>
    <dxf>
      <font>
        <b/>
        <strike val="0"/>
        <outline val="0"/>
        <shadow val="0"/>
        <u val="none"/>
        <vertAlign val="baseline"/>
        <sz val="11"/>
        <color theme="1"/>
        <name val="Arial Narrow"/>
        <family val="2"/>
        <scheme val="none"/>
      </font>
      <numFmt numFmtId="3" formatCode="#,##0"/>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strike val="0"/>
        <outline val="0"/>
        <shadow val="0"/>
        <u val="none"/>
        <vertAlign val="baseline"/>
        <sz val="11"/>
        <color theme="1"/>
        <name val="Arial Narrow"/>
        <family val="2"/>
        <scheme val="none"/>
      </font>
      <numFmt numFmtId="3" formatCode="#,##0"/>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strike val="0"/>
        <outline val="0"/>
        <shadow val="0"/>
        <u val="none"/>
        <vertAlign val="baseline"/>
        <sz val="11"/>
        <color theme="1"/>
        <name val="Arial Narrow"/>
        <family val="2"/>
        <scheme val="none"/>
      </font>
      <numFmt numFmtId="3" formatCode="#,##0"/>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theme="1"/>
        <name val="Arial Narrow"/>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rial Narrow"/>
        <family val="2"/>
        <scheme val="none"/>
      </font>
      <numFmt numFmtId="2" formatCode="0.00"/>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strike val="0"/>
        <outline val="0"/>
        <shadow val="0"/>
        <u val="none"/>
        <vertAlign val="baseline"/>
        <sz val="11"/>
        <color theme="1"/>
        <name val="Arial Narrow"/>
        <family val="2"/>
        <scheme val="none"/>
      </font>
      <numFmt numFmtId="3" formatCode="#,##0"/>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rial Narrow"/>
        <family val="2"/>
        <scheme val="none"/>
      </font>
      <numFmt numFmtId="20" formatCode="dd/mmm/yy"/>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rial Narrow"/>
        <family val="2"/>
        <scheme val="none"/>
      </font>
      <numFmt numFmtId="20" formatCode="dd/mmm/yy"/>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rial Narrow"/>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rial Narrow"/>
        <family val="2"/>
        <scheme val="none"/>
      </font>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font>
        <b/>
        <strike val="0"/>
        <outline val="0"/>
        <shadow val="0"/>
        <u val="none"/>
        <vertAlign val="baseline"/>
        <sz val="11"/>
        <color theme="1"/>
        <name val="Arial Narrow"/>
        <family val="2"/>
        <scheme val="none"/>
      </font>
      <alignment horizontal="left"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1"/>
        <name val="Arial Narrow"/>
        <family val="2"/>
        <scheme val="none"/>
      </font>
      <alignment horizontal="left"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00000"/>
      <color rgb="FF0033CC"/>
      <color rgb="FF85FBA7"/>
      <color rgb="FF55ED2B"/>
      <color rgb="FF00FF00"/>
      <color rgb="FFFF0000"/>
      <color rgb="FF99FFCC"/>
      <color rgb="FF2C8434"/>
      <color rgb="FF00FF99"/>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Gantt</a:t>
            </a:r>
            <a:r>
              <a:rPr lang="en-US" baseline="0"/>
              <a:t> Chart</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barChart>
        <c:barDir val="bar"/>
        <c:grouping val="stacked"/>
        <c:varyColors val="0"/>
        <c:ser>
          <c:idx val="1"/>
          <c:order val="0"/>
          <c:tx>
            <c:strRef>
              <c:f>'CaseStudy-1'!$D$2</c:f>
              <c:strCache>
                <c:ptCount val="1"/>
                <c:pt idx="0">
                  <c:v>Start Date</c:v>
                </c:pt>
              </c:strCache>
            </c:strRef>
          </c:tx>
          <c:spPr>
            <a:solidFill>
              <a:schemeClr val="bg1"/>
            </a:solidFill>
            <a:ln>
              <a:noFill/>
            </a:ln>
            <a:effectLst/>
          </c:spPr>
          <c:invertIfNegative val="0"/>
          <c:cat>
            <c:strRef>
              <c:f>'CaseStudy-1'!$C$3:$C$9</c:f>
              <c:strCache>
                <c:ptCount val="7"/>
                <c:pt idx="0">
                  <c:v>Requirement Gathering</c:v>
                </c:pt>
                <c:pt idx="1">
                  <c:v>Requirement Analysis</c:v>
                </c:pt>
                <c:pt idx="2">
                  <c:v>UI/UX Design</c:v>
                </c:pt>
                <c:pt idx="3">
                  <c:v>Frontend Development</c:v>
                </c:pt>
                <c:pt idx="4">
                  <c:v>Backend Development</c:v>
                </c:pt>
                <c:pt idx="5">
                  <c:v>Testing</c:v>
                </c:pt>
                <c:pt idx="6">
                  <c:v>Deployment</c:v>
                </c:pt>
              </c:strCache>
            </c:strRef>
          </c:cat>
          <c:val>
            <c:numRef>
              <c:f>'CaseStudy-1'!$D$3:$D$9</c:f>
              <c:numCache>
                <c:formatCode>d\-mmm\-yy</c:formatCode>
                <c:ptCount val="7"/>
                <c:pt idx="0">
                  <c:v>46266</c:v>
                </c:pt>
                <c:pt idx="1">
                  <c:v>46271</c:v>
                </c:pt>
                <c:pt idx="2">
                  <c:v>46276</c:v>
                </c:pt>
                <c:pt idx="3">
                  <c:v>46284</c:v>
                </c:pt>
                <c:pt idx="4">
                  <c:v>46290</c:v>
                </c:pt>
                <c:pt idx="5">
                  <c:v>46304</c:v>
                </c:pt>
                <c:pt idx="6">
                  <c:v>46311</c:v>
                </c:pt>
              </c:numCache>
            </c:numRef>
          </c:val>
          <c:extLst>
            <c:ext xmlns:c16="http://schemas.microsoft.com/office/drawing/2014/chart" uri="{C3380CC4-5D6E-409C-BE32-E72D297353CC}">
              <c16:uniqueId val="{00000001-5156-47C1-ACE4-F49622EFD688}"/>
            </c:ext>
          </c:extLst>
        </c:ser>
        <c:ser>
          <c:idx val="2"/>
          <c:order val="1"/>
          <c:tx>
            <c:strRef>
              <c:f>'CaseStudy-1'!$I$2</c:f>
              <c:strCache>
                <c:ptCount val="1"/>
                <c:pt idx="0">
                  <c:v>Completed</c:v>
                </c:pt>
              </c:strCache>
            </c:strRef>
          </c:tx>
          <c:spPr>
            <a:solidFill>
              <a:srgbClr val="00B050"/>
            </a:solidFill>
            <a:ln>
              <a:solidFill>
                <a:schemeClr val="tx1"/>
              </a:solidFill>
            </a:ln>
            <a:effectLst/>
          </c:spPr>
          <c:invertIfNegative val="0"/>
          <c:cat>
            <c:strRef>
              <c:f>'CaseStudy-1'!$C$3:$C$9</c:f>
              <c:strCache>
                <c:ptCount val="7"/>
                <c:pt idx="0">
                  <c:v>Requirement Gathering</c:v>
                </c:pt>
                <c:pt idx="1">
                  <c:v>Requirement Analysis</c:v>
                </c:pt>
                <c:pt idx="2">
                  <c:v>UI/UX Design</c:v>
                </c:pt>
                <c:pt idx="3">
                  <c:v>Frontend Development</c:v>
                </c:pt>
                <c:pt idx="4">
                  <c:v>Backend Development</c:v>
                </c:pt>
                <c:pt idx="5">
                  <c:v>Testing</c:v>
                </c:pt>
                <c:pt idx="6">
                  <c:v>Deployment</c:v>
                </c:pt>
              </c:strCache>
            </c:strRef>
          </c:cat>
          <c:val>
            <c:numRef>
              <c:f>'CaseStudy-1'!$I$3:$I$9</c:f>
              <c:numCache>
                <c:formatCode>#,##0</c:formatCode>
                <c:ptCount val="7"/>
                <c:pt idx="0">
                  <c:v>5</c:v>
                </c:pt>
                <c:pt idx="1">
                  <c:v>5</c:v>
                </c:pt>
                <c:pt idx="2">
                  <c:v>8</c:v>
                </c:pt>
                <c:pt idx="3">
                  <c:v>6</c:v>
                </c:pt>
                <c:pt idx="4">
                  <c:v>0</c:v>
                </c:pt>
                <c:pt idx="5">
                  <c:v>0</c:v>
                </c:pt>
                <c:pt idx="6">
                  <c:v>0</c:v>
                </c:pt>
              </c:numCache>
            </c:numRef>
          </c:val>
          <c:extLst>
            <c:ext xmlns:c16="http://schemas.microsoft.com/office/drawing/2014/chart" uri="{C3380CC4-5D6E-409C-BE32-E72D297353CC}">
              <c16:uniqueId val="{00000002-5156-47C1-ACE4-F49622EFD688}"/>
            </c:ext>
          </c:extLst>
        </c:ser>
        <c:ser>
          <c:idx val="3"/>
          <c:order val="2"/>
          <c:tx>
            <c:strRef>
              <c:f>'CaseStudy-1'!$J$2</c:f>
              <c:strCache>
                <c:ptCount val="1"/>
                <c:pt idx="0">
                  <c:v>InProgress</c:v>
                </c:pt>
              </c:strCache>
            </c:strRef>
          </c:tx>
          <c:spPr>
            <a:solidFill>
              <a:srgbClr val="85FBA7"/>
            </a:solidFill>
            <a:ln>
              <a:solidFill>
                <a:schemeClr val="tx1"/>
              </a:solidFill>
            </a:ln>
            <a:effectLst/>
          </c:spPr>
          <c:invertIfNegative val="0"/>
          <c:cat>
            <c:strRef>
              <c:f>'CaseStudy-1'!$C$3:$C$9</c:f>
              <c:strCache>
                <c:ptCount val="7"/>
                <c:pt idx="0">
                  <c:v>Requirement Gathering</c:v>
                </c:pt>
                <c:pt idx="1">
                  <c:v>Requirement Analysis</c:v>
                </c:pt>
                <c:pt idx="2">
                  <c:v>UI/UX Design</c:v>
                </c:pt>
                <c:pt idx="3">
                  <c:v>Frontend Development</c:v>
                </c:pt>
                <c:pt idx="4">
                  <c:v>Backend Development</c:v>
                </c:pt>
                <c:pt idx="5">
                  <c:v>Testing</c:v>
                </c:pt>
                <c:pt idx="6">
                  <c:v>Deployment</c:v>
                </c:pt>
              </c:strCache>
            </c:strRef>
          </c:cat>
          <c:val>
            <c:numRef>
              <c:f>'CaseStudy-1'!$J$3:$J$9</c:f>
              <c:numCache>
                <c:formatCode>#,##0</c:formatCode>
                <c:ptCount val="7"/>
                <c:pt idx="0">
                  <c:v>0</c:v>
                </c:pt>
                <c:pt idx="1">
                  <c:v>0</c:v>
                </c:pt>
                <c:pt idx="2">
                  <c:v>0</c:v>
                </c:pt>
                <c:pt idx="3">
                  <c:v>6</c:v>
                </c:pt>
                <c:pt idx="4">
                  <c:v>0</c:v>
                </c:pt>
                <c:pt idx="5">
                  <c:v>0</c:v>
                </c:pt>
                <c:pt idx="6">
                  <c:v>0</c:v>
                </c:pt>
              </c:numCache>
            </c:numRef>
          </c:val>
          <c:extLst>
            <c:ext xmlns:c16="http://schemas.microsoft.com/office/drawing/2014/chart" uri="{C3380CC4-5D6E-409C-BE32-E72D297353CC}">
              <c16:uniqueId val="{00000003-5156-47C1-ACE4-F49622EFD688}"/>
            </c:ext>
          </c:extLst>
        </c:ser>
        <c:ser>
          <c:idx val="0"/>
          <c:order val="3"/>
          <c:tx>
            <c:strRef>
              <c:f>'CaseStudy-1'!$K$2</c:f>
              <c:strCache>
                <c:ptCount val="1"/>
                <c:pt idx="0">
                  <c:v>Pending</c:v>
                </c:pt>
              </c:strCache>
            </c:strRef>
          </c:tx>
          <c:spPr>
            <a:solidFill>
              <a:schemeClr val="tx1">
                <a:lumMod val="75000"/>
                <a:lumOff val="25000"/>
              </a:schemeClr>
            </a:solidFill>
            <a:ln>
              <a:solidFill>
                <a:schemeClr val="tx1"/>
              </a:solidFill>
            </a:ln>
            <a:effectLst/>
          </c:spPr>
          <c:invertIfNegative val="0"/>
          <c:cat>
            <c:strRef>
              <c:f>'CaseStudy-1'!$C$3:$C$9</c:f>
              <c:strCache>
                <c:ptCount val="7"/>
                <c:pt idx="0">
                  <c:v>Requirement Gathering</c:v>
                </c:pt>
                <c:pt idx="1">
                  <c:v>Requirement Analysis</c:v>
                </c:pt>
                <c:pt idx="2">
                  <c:v>UI/UX Design</c:v>
                </c:pt>
                <c:pt idx="3">
                  <c:v>Frontend Development</c:v>
                </c:pt>
                <c:pt idx="4">
                  <c:v>Backend Development</c:v>
                </c:pt>
                <c:pt idx="5">
                  <c:v>Testing</c:v>
                </c:pt>
                <c:pt idx="6">
                  <c:v>Deployment</c:v>
                </c:pt>
              </c:strCache>
            </c:strRef>
          </c:cat>
          <c:val>
            <c:numRef>
              <c:f>'CaseStudy-1'!$K$3:$K$9</c:f>
              <c:numCache>
                <c:formatCode>#,##0</c:formatCode>
                <c:ptCount val="7"/>
                <c:pt idx="0">
                  <c:v>0</c:v>
                </c:pt>
                <c:pt idx="1">
                  <c:v>0</c:v>
                </c:pt>
                <c:pt idx="2">
                  <c:v>0</c:v>
                </c:pt>
                <c:pt idx="3">
                  <c:v>0</c:v>
                </c:pt>
                <c:pt idx="4">
                  <c:v>14</c:v>
                </c:pt>
                <c:pt idx="5">
                  <c:v>7</c:v>
                </c:pt>
                <c:pt idx="6">
                  <c:v>3</c:v>
                </c:pt>
              </c:numCache>
            </c:numRef>
          </c:val>
          <c:extLst>
            <c:ext xmlns:c16="http://schemas.microsoft.com/office/drawing/2014/chart" uri="{C3380CC4-5D6E-409C-BE32-E72D297353CC}">
              <c16:uniqueId val="{00000000-F53A-430F-A9C5-574F0DF1B3ED}"/>
            </c:ext>
          </c:extLst>
        </c:ser>
        <c:dLbls>
          <c:showLegendKey val="0"/>
          <c:showVal val="0"/>
          <c:showCatName val="0"/>
          <c:showSerName val="0"/>
          <c:showPercent val="0"/>
          <c:showBubbleSize val="0"/>
        </c:dLbls>
        <c:gapWidth val="150"/>
        <c:overlap val="100"/>
        <c:axId val="889844367"/>
        <c:axId val="889844847"/>
      </c:barChart>
      <c:catAx>
        <c:axId val="88984436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89844847"/>
        <c:crosses val="autoZero"/>
        <c:auto val="1"/>
        <c:lblAlgn val="ctr"/>
        <c:lblOffset val="100"/>
        <c:noMultiLvlLbl val="0"/>
      </c:catAx>
      <c:valAx>
        <c:axId val="889844847"/>
        <c:scaling>
          <c:orientation val="minMax"/>
          <c:min val="46260"/>
        </c:scaling>
        <c:delete val="0"/>
        <c:axPos val="t"/>
        <c:majorGridlines>
          <c:spPr>
            <a:ln w="9525" cap="flat" cmpd="sng" algn="ctr">
              <a:solidFill>
                <a:schemeClr val="tx1"/>
              </a:solidFill>
              <a:prstDash val="sysDot"/>
              <a:round/>
            </a:ln>
            <a:effectLst/>
          </c:spPr>
        </c:majorGridlines>
        <c:numFmt formatCode="d\-mmm\-yy"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89844367"/>
        <c:crosses val="autoZero"/>
        <c:crossBetween val="between"/>
      </c:valAx>
      <c:spPr>
        <a:noFill/>
        <a:ln>
          <a:noFill/>
        </a:ln>
        <a:effectLst/>
      </c:spPr>
    </c:plotArea>
    <c:legend>
      <c:legendPos val="r"/>
      <c:legendEntry>
        <c:idx val="0"/>
        <c:delete val="1"/>
      </c:legendEntry>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FF0000"/>
      </a:solidFill>
      <a:round/>
    </a:ln>
    <a:effectLst/>
  </c:spPr>
  <c:txPr>
    <a:bodyPr/>
    <a:lstStyle/>
    <a:p>
      <a:pPr>
        <a:defRPr b="1" i="0" baseline="0">
          <a:solidFill>
            <a:schemeClr val="tx1"/>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ASSIGNMENT – Case Studies.xlsx]Case Study 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i="0" baseline="0">
                <a:solidFill>
                  <a:srgbClr val="00B050"/>
                </a:solidFill>
              </a:rPr>
              <a:t>Monthly Sales with Forecasted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2700" cap="rnd">
            <a:solidFill>
              <a:srgbClr val="00B050"/>
            </a:solidFill>
            <a:prstDash val="sysDash"/>
            <a:round/>
          </a:ln>
          <a:effectLst/>
        </c:spPr>
        <c:marker>
          <c:symbol val="circle"/>
          <c:size val="5"/>
          <c:spPr>
            <a:solidFill>
              <a:srgbClr val="CC0000"/>
            </a:solidFill>
            <a:ln w="12700">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tx1"/>
            </a:solidFill>
            <a:ln w="9525">
              <a:solidFill>
                <a:schemeClr val="accent1"/>
              </a:solid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50"/>
            </a:solidFill>
            <a:round/>
          </a:ln>
          <a:effectLst/>
        </c:spPr>
        <c:marker>
          <c:spPr>
            <a:solidFill>
              <a:srgbClr val="F0000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spPr>
          <a:ln w="28575" cap="rnd">
            <a:solidFill>
              <a:schemeClr val="accent1"/>
            </a:solidFill>
            <a:round/>
          </a:ln>
          <a:effectLst/>
        </c:spPr>
        <c:marker>
          <c:symbol val="circle"/>
          <c:size val="5"/>
          <c:spPr>
            <a:solidFill>
              <a:schemeClr val="tx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851936750461352E-2"/>
          <c:y val="0.14556507239149408"/>
          <c:w val="0.91114806324953868"/>
          <c:h val="0.71340589653609743"/>
        </c:manualLayout>
      </c:layout>
      <c:lineChart>
        <c:grouping val="standard"/>
        <c:varyColors val="0"/>
        <c:ser>
          <c:idx val="0"/>
          <c:order val="0"/>
          <c:tx>
            <c:strRef>
              <c:f>'Case Study 2'!$G$3</c:f>
              <c:strCache>
                <c:ptCount val="1"/>
                <c:pt idx="0">
                  <c:v>Sum of Sales (₹)</c:v>
                </c:pt>
              </c:strCache>
            </c:strRef>
          </c:tx>
          <c:spPr>
            <a:ln w="28575" cap="rnd">
              <a:solidFill>
                <a:schemeClr val="accent1"/>
              </a:solidFill>
              <a:round/>
            </a:ln>
            <a:effectLst/>
          </c:spPr>
          <c:marker>
            <c:symbol val="circle"/>
            <c:size val="5"/>
            <c:spPr>
              <a:solidFill>
                <a:schemeClr val="tx1"/>
              </a:solidFill>
              <a:ln w="9525">
                <a:solidFill>
                  <a:schemeClr val="accent1"/>
                </a:solidFill>
              </a:ln>
              <a:effectLst/>
            </c:spPr>
          </c:marker>
          <c:dLbls>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'Case Study 2'!$F$4:$F$25</c:f>
              <c:multiLvlStrCache>
                <c:ptCount val="19"/>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lvl>
                <c:lvl>
                  <c:pt idx="0">
                    <c:v>2026</c:v>
                  </c:pt>
                  <c:pt idx="12">
                    <c:v>2027</c:v>
                  </c:pt>
                </c:lvl>
              </c:multiLvlStrCache>
            </c:multiLvlStrRef>
          </c:cat>
          <c:val>
            <c:numRef>
              <c:f>'Case Study 2'!$G$4:$G$25</c:f>
              <c:numCache>
                <c:formatCode>#,##0</c:formatCode>
                <c:ptCount val="19"/>
                <c:pt idx="0">
                  <c:v>45000</c:v>
                </c:pt>
                <c:pt idx="1">
                  <c:v>48000</c:v>
                </c:pt>
                <c:pt idx="2">
                  <c:v>52000</c:v>
                </c:pt>
                <c:pt idx="3">
                  <c:v>55000</c:v>
                </c:pt>
                <c:pt idx="4">
                  <c:v>58000</c:v>
                </c:pt>
                <c:pt idx="5">
                  <c:v>62000</c:v>
                </c:pt>
                <c:pt idx="6">
                  <c:v>65000</c:v>
                </c:pt>
                <c:pt idx="7">
                  <c:v>69000</c:v>
                </c:pt>
                <c:pt idx="8">
                  <c:v>72000</c:v>
                </c:pt>
                <c:pt idx="9">
                  <c:v>76000</c:v>
                </c:pt>
                <c:pt idx="10">
                  <c:v>80000</c:v>
                </c:pt>
                <c:pt idx="11">
                  <c:v>84000</c:v>
                </c:pt>
              </c:numCache>
            </c:numRef>
          </c:val>
          <c:smooth val="0"/>
          <c:extLst>
            <c:ext xmlns:c16="http://schemas.microsoft.com/office/drawing/2014/chart" uri="{C3380CC4-5D6E-409C-BE32-E72D297353CC}">
              <c16:uniqueId val="{00000000-5762-4B66-88B1-C15850FD932F}"/>
            </c:ext>
          </c:extLst>
        </c:ser>
        <c:ser>
          <c:idx val="1"/>
          <c:order val="1"/>
          <c:tx>
            <c:strRef>
              <c:f>'Case Study 2'!$H$3</c:f>
              <c:strCache>
                <c:ptCount val="1"/>
                <c:pt idx="0">
                  <c:v>Sum of Sales Forecast(₹)</c:v>
                </c:pt>
              </c:strCache>
            </c:strRef>
          </c:tx>
          <c:spPr>
            <a:ln w="28575" cap="rnd">
              <a:solidFill>
                <a:schemeClr val="accent2"/>
              </a:solidFill>
              <a:round/>
            </a:ln>
            <a:effectLst/>
          </c:spPr>
          <c:marker>
            <c:symbol val="circle"/>
            <c:size val="5"/>
            <c:spPr>
              <a:solidFill>
                <a:schemeClr val="tx1"/>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'Case Study 2'!$F$4:$F$25</c:f>
              <c:multiLvlStrCache>
                <c:ptCount val="19"/>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lvl>
                <c:lvl>
                  <c:pt idx="0">
                    <c:v>2026</c:v>
                  </c:pt>
                  <c:pt idx="12">
                    <c:v>2027</c:v>
                  </c:pt>
                </c:lvl>
              </c:multiLvlStrCache>
            </c:multiLvlStrRef>
          </c:cat>
          <c:val>
            <c:numRef>
              <c:f>'Case Study 2'!$H$4:$H$25</c:f>
              <c:numCache>
                <c:formatCode>0</c:formatCode>
                <c:ptCount val="19"/>
                <c:pt idx="12">
                  <c:v>86786.738053315319</c:v>
                </c:pt>
                <c:pt idx="13">
                  <c:v>90493.340006090701</c:v>
                </c:pt>
                <c:pt idx="14">
                  <c:v>93746.489282117225</c:v>
                </c:pt>
                <c:pt idx="15">
                  <c:v>97751.676774883643</c:v>
                </c:pt>
                <c:pt idx="16">
                  <c:v>101638.30423115566</c:v>
                </c:pt>
                <c:pt idx="17">
                  <c:v>105470.08537677117</c:v>
                </c:pt>
                <c:pt idx="18">
                  <c:v>109843.82786993589</c:v>
                </c:pt>
              </c:numCache>
            </c:numRef>
          </c:val>
          <c:smooth val="0"/>
          <c:extLst>
            <c:ext xmlns:c16="http://schemas.microsoft.com/office/drawing/2014/chart" uri="{C3380CC4-5D6E-409C-BE32-E72D297353CC}">
              <c16:uniqueId val="{00000004-2B85-4B8C-8D9F-DCD860ADE499}"/>
            </c:ext>
          </c:extLst>
        </c:ser>
        <c:dLbls>
          <c:dLblPos val="t"/>
          <c:showLegendKey val="0"/>
          <c:showVal val="1"/>
          <c:showCatName val="0"/>
          <c:showSerName val="0"/>
          <c:showPercent val="0"/>
          <c:showBubbleSize val="0"/>
        </c:dLbls>
        <c:marker val="1"/>
        <c:smooth val="0"/>
        <c:axId val="1199994272"/>
        <c:axId val="1229730496"/>
      </c:lineChart>
      <c:catAx>
        <c:axId val="1199994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i="0" baseline="0">
                    <a:solidFill>
                      <a:schemeClr val="tx1"/>
                    </a:solidFill>
                  </a:rPr>
                  <a:t>Month</a:t>
                </a:r>
              </a:p>
            </c:rich>
          </c:tx>
          <c:layout>
            <c:manualLayout>
              <c:xMode val="edge"/>
              <c:yMode val="edge"/>
              <c:x val="0.46371694684325876"/>
              <c:y val="0.9474913634384994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29730496"/>
        <c:crosses val="autoZero"/>
        <c:auto val="1"/>
        <c:lblAlgn val="ctr"/>
        <c:lblOffset val="100"/>
        <c:noMultiLvlLbl val="0"/>
      </c:catAx>
      <c:valAx>
        <c:axId val="12297304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i="0" baseline="0">
                    <a:solidFill>
                      <a:schemeClr val="tx1"/>
                    </a:solidFill>
                  </a:rPr>
                  <a:t>Sales</a:t>
                </a:r>
              </a:p>
            </c:rich>
          </c:tx>
          <c:layout>
            <c:manualLayout>
              <c:xMode val="edge"/>
              <c:yMode val="edge"/>
              <c:x val="9.9586627999412331E-3"/>
              <c:y val="0.4763288914410095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99994272"/>
        <c:crosses val="autoZero"/>
        <c:crossBetween val="between"/>
      </c:valAx>
      <c:spPr>
        <a:noFill/>
        <a:ln>
          <a:noFill/>
        </a:ln>
        <a:effectLst/>
      </c:spPr>
    </c:plotArea>
    <c:legend>
      <c:legendPos val="r"/>
      <c:layout>
        <c:manualLayout>
          <c:xMode val="edge"/>
          <c:yMode val="edge"/>
          <c:x val="0.843425392793964"/>
          <c:y val="0.64149458944465221"/>
          <c:w val="0.15657460720603594"/>
          <c:h val="0.1945536488852860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'Forecast Sheet'!$B$1</c:f>
              <c:strCache>
                <c:ptCount val="1"/>
                <c:pt idx="0">
                  <c:v>Sales (₹)</c:v>
                </c:pt>
              </c:strCache>
            </c:strRef>
          </c:tx>
          <c:spPr>
            <a:ln w="28575" cap="rnd">
              <a:solidFill>
                <a:srgbClr val="0033CC"/>
              </a:solidFill>
              <a:round/>
            </a:ln>
            <a:effectLst/>
          </c:spPr>
          <c:marker>
            <c:symbol val="none"/>
          </c:marker>
          <c:val>
            <c:numRef>
              <c:f>'Forecast Sheet'!$B$2:$B$20</c:f>
              <c:numCache>
                <c:formatCode>#,##0</c:formatCode>
                <c:ptCount val="19"/>
                <c:pt idx="0">
                  <c:v>45000</c:v>
                </c:pt>
                <c:pt idx="1">
                  <c:v>48000</c:v>
                </c:pt>
                <c:pt idx="2">
                  <c:v>52000</c:v>
                </c:pt>
                <c:pt idx="3">
                  <c:v>55000</c:v>
                </c:pt>
                <c:pt idx="4">
                  <c:v>58000</c:v>
                </c:pt>
                <c:pt idx="5">
                  <c:v>62000</c:v>
                </c:pt>
                <c:pt idx="6">
                  <c:v>65000</c:v>
                </c:pt>
                <c:pt idx="7">
                  <c:v>69000</c:v>
                </c:pt>
                <c:pt idx="8">
                  <c:v>72000</c:v>
                </c:pt>
                <c:pt idx="9">
                  <c:v>76000</c:v>
                </c:pt>
                <c:pt idx="10">
                  <c:v>80000</c:v>
                </c:pt>
                <c:pt idx="11">
                  <c:v>84000</c:v>
                </c:pt>
              </c:numCache>
            </c:numRef>
          </c:val>
          <c:smooth val="0"/>
          <c:extLst>
            <c:ext xmlns:c16="http://schemas.microsoft.com/office/drawing/2014/chart" uri="{C3380CC4-5D6E-409C-BE32-E72D297353CC}">
              <c16:uniqueId val="{00000000-1394-4F93-B860-FE4DF87538BA}"/>
            </c:ext>
          </c:extLst>
        </c:ser>
        <c:ser>
          <c:idx val="1"/>
          <c:order val="1"/>
          <c:tx>
            <c:strRef>
              <c:f>'Forecast Sheet'!$C$1</c:f>
              <c:strCache>
                <c:ptCount val="1"/>
                <c:pt idx="0">
                  <c:v>Forecast(Sales (₹))</c:v>
                </c:pt>
              </c:strCache>
            </c:strRef>
          </c:tx>
          <c:spPr>
            <a:ln w="25400" cap="rnd">
              <a:solidFill>
                <a:schemeClr val="accent2"/>
              </a:solidFill>
              <a:round/>
            </a:ln>
            <a:effectLst/>
          </c:spPr>
          <c:marker>
            <c:symbol val="none"/>
          </c:marker>
          <c:cat>
            <c:numRef>
              <c:f>'Forecast Sheet'!$A$2:$A$20</c:f>
              <c:numCache>
                <c:formatCode>mmm\-yy</c:formatCode>
                <c:ptCount val="19"/>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numCache>
            </c:numRef>
          </c:cat>
          <c:val>
            <c:numRef>
              <c:f>'Forecast Sheet'!$C$2:$C$20</c:f>
              <c:numCache>
                <c:formatCode>General</c:formatCode>
                <c:ptCount val="19"/>
                <c:pt idx="11" formatCode="#,##0">
                  <c:v>84000</c:v>
                </c:pt>
                <c:pt idx="12" formatCode="#,##0">
                  <c:v>87905.380656479902</c:v>
                </c:pt>
                <c:pt idx="13" formatCode="#,##0">
                  <c:v>91990.485336708938</c:v>
                </c:pt>
                <c:pt idx="14" formatCode="#,##0">
                  <c:v>96075.590016937989</c:v>
                </c:pt>
                <c:pt idx="15" formatCode="#,##0">
                  <c:v>100160.69469716703</c:v>
                </c:pt>
                <c:pt idx="16" formatCode="#,##0">
                  <c:v>104245.79937739606</c:v>
                </c:pt>
                <c:pt idx="17" formatCode="#,##0">
                  <c:v>108330.9040576251</c:v>
                </c:pt>
                <c:pt idx="18" formatCode="#,##0">
                  <c:v>112416.00873785414</c:v>
                </c:pt>
              </c:numCache>
            </c:numRef>
          </c:val>
          <c:smooth val="0"/>
          <c:extLst>
            <c:ext xmlns:c16="http://schemas.microsoft.com/office/drawing/2014/chart" uri="{C3380CC4-5D6E-409C-BE32-E72D297353CC}">
              <c16:uniqueId val="{00000001-1394-4F93-B860-FE4DF87538BA}"/>
            </c:ext>
          </c:extLst>
        </c:ser>
        <c:ser>
          <c:idx val="2"/>
          <c:order val="2"/>
          <c:tx>
            <c:strRef>
              <c:f>'Forecast Sheet'!#REF!</c:f>
              <c:strCache>
                <c:ptCount val="1"/>
                <c:pt idx="0">
                  <c:v>#REF!</c:v>
                </c:pt>
              </c:strCache>
            </c:strRef>
          </c:tx>
          <c:spPr>
            <a:ln w="28575" cap="rnd">
              <a:solidFill>
                <a:schemeClr val="accent3"/>
              </a:solidFill>
              <a:round/>
            </a:ln>
            <a:effectLst/>
          </c:spPr>
          <c:marker>
            <c:symbol val="none"/>
          </c:marker>
          <c:cat>
            <c:numRef>
              <c:f>'Forecast Sheet'!$A$2:$A$20</c:f>
              <c:numCache>
                <c:formatCode>mmm\-yy</c:formatCode>
                <c:ptCount val="19"/>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numCache>
            </c:numRef>
          </c:cat>
          <c:val>
            <c:numRef>
              <c:f>'Forecast Sheet'!#REF!</c:f>
              <c:numCache>
                <c:formatCode>General</c:formatCode>
                <c:ptCount val="1"/>
                <c:pt idx="0">
                  <c:v>1</c:v>
                </c:pt>
              </c:numCache>
            </c:numRef>
          </c:val>
          <c:smooth val="0"/>
          <c:extLst>
            <c:ext xmlns:c16="http://schemas.microsoft.com/office/drawing/2014/chart" uri="{C3380CC4-5D6E-409C-BE32-E72D297353CC}">
              <c16:uniqueId val="{00000002-1394-4F93-B860-FE4DF87538BA}"/>
            </c:ext>
          </c:extLst>
        </c:ser>
        <c:ser>
          <c:idx val="3"/>
          <c:order val="3"/>
          <c:tx>
            <c:strRef>
              <c:f>'Forecast Sheet'!#REF!</c:f>
              <c:strCache>
                <c:ptCount val="1"/>
                <c:pt idx="0">
                  <c:v>#REF!</c:v>
                </c:pt>
              </c:strCache>
            </c:strRef>
          </c:tx>
          <c:spPr>
            <a:ln w="28575" cap="rnd">
              <a:solidFill>
                <a:schemeClr val="accent4"/>
              </a:solidFill>
              <a:round/>
            </a:ln>
            <a:effectLst/>
          </c:spPr>
          <c:marker>
            <c:symbol val="none"/>
          </c:marker>
          <c:cat>
            <c:numRef>
              <c:f>'Forecast Sheet'!$A$2:$A$20</c:f>
              <c:numCache>
                <c:formatCode>mmm\-yy</c:formatCode>
                <c:ptCount val="19"/>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numCache>
            </c:numRef>
          </c:cat>
          <c:val>
            <c:numRef>
              <c:f>'Forecast Sheet'!#REF!</c:f>
              <c:numCache>
                <c:formatCode>General</c:formatCode>
                <c:ptCount val="1"/>
                <c:pt idx="0">
                  <c:v>1</c:v>
                </c:pt>
              </c:numCache>
            </c:numRef>
          </c:val>
          <c:smooth val="0"/>
          <c:extLst>
            <c:ext xmlns:c16="http://schemas.microsoft.com/office/drawing/2014/chart" uri="{C3380CC4-5D6E-409C-BE32-E72D297353CC}">
              <c16:uniqueId val="{00000003-1394-4F93-B860-FE4DF87538BA}"/>
            </c:ext>
          </c:extLst>
        </c:ser>
        <c:dLbls>
          <c:showLegendKey val="0"/>
          <c:showVal val="0"/>
          <c:showCatName val="0"/>
          <c:showSerName val="0"/>
          <c:showPercent val="0"/>
          <c:showBubbleSize val="0"/>
        </c:dLbls>
        <c:smooth val="0"/>
        <c:axId val="327722352"/>
        <c:axId val="327723792"/>
      </c:lineChart>
      <c:catAx>
        <c:axId val="327722352"/>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723792"/>
        <c:crosses val="autoZero"/>
        <c:auto val="1"/>
        <c:lblAlgn val="ctr"/>
        <c:lblOffset val="100"/>
        <c:noMultiLvlLbl val="0"/>
      </c:catAx>
      <c:valAx>
        <c:axId val="3277237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722352"/>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F00000"/>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500" b="1" i="0" u="none" strike="noStrike" baseline="0">
                <a:solidFill>
                  <a:schemeClr val="tx1"/>
                </a:solidFill>
                <a:effectLst/>
              </a:rPr>
              <a:t>Profit Comparison Across Scenarios</a:t>
            </a:r>
            <a:endParaRPr lang="en-US" sz="1500" b="1" i="0" baseline="0">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'CaseStudy-3'!$H$2</c:f>
              <c:strCache>
                <c:ptCount val="1"/>
                <c:pt idx="0">
                  <c:v>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'CaseStudy-3'!$E$3:$E$5</c:f>
              <c:strCache>
                <c:ptCount val="3"/>
                <c:pt idx="0">
                  <c:v>Best Case</c:v>
                </c:pt>
                <c:pt idx="1">
                  <c:v>Normal Case</c:v>
                </c:pt>
                <c:pt idx="2">
                  <c:v>Worst Case</c:v>
                </c:pt>
              </c:strCache>
            </c:strRef>
          </c:cat>
          <c:val>
            <c:numRef>
              <c:f>'CaseStudy-3'!$H$3:$H$5</c:f>
              <c:numCache>
                <c:formatCode>#,##0</c:formatCode>
                <c:ptCount val="3"/>
                <c:pt idx="0">
                  <c:v>450000</c:v>
                </c:pt>
                <c:pt idx="1">
                  <c:v>200000</c:v>
                </c:pt>
                <c:pt idx="2">
                  <c:v>0</c:v>
                </c:pt>
              </c:numCache>
            </c:numRef>
          </c:val>
          <c:extLst>
            <c:ext xmlns:c16="http://schemas.microsoft.com/office/drawing/2014/chart" uri="{C3380CC4-5D6E-409C-BE32-E72D297353CC}">
              <c16:uniqueId val="{00000000-110E-4A96-B946-0315E9013B2A}"/>
            </c:ext>
          </c:extLst>
        </c:ser>
        <c:dLbls>
          <c:dLblPos val="outEnd"/>
          <c:showLegendKey val="0"/>
          <c:showVal val="1"/>
          <c:showCatName val="0"/>
          <c:showSerName val="0"/>
          <c:showPercent val="0"/>
          <c:showBubbleSize val="0"/>
        </c:dLbls>
        <c:gapWidth val="219"/>
        <c:overlap val="-27"/>
        <c:axId val="324610048"/>
        <c:axId val="324608608"/>
      </c:barChart>
      <c:catAx>
        <c:axId val="32461004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t>Scenarios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24608608"/>
        <c:crosses val="autoZero"/>
        <c:auto val="1"/>
        <c:lblAlgn val="ctr"/>
        <c:lblOffset val="100"/>
        <c:noMultiLvlLbl val="0"/>
      </c:catAx>
      <c:valAx>
        <c:axId val="324608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24610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F00000"/>
      </a:solidFill>
      <a:round/>
    </a:ln>
    <a:effectLst/>
  </c:spPr>
  <c:txPr>
    <a:bodyPr/>
    <a:lstStyle/>
    <a:p>
      <a:pPr>
        <a:defRPr b="1" i="0" baseline="0">
          <a:solidFill>
            <a:schemeClr val="tx1"/>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ASSIGNMENT – Case Studies.xlsx]CaseStudy-4!PivotTable1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0" baseline="0">
                <a:solidFill>
                  <a:srgbClr val="00B050"/>
                </a:solidFill>
              </a:rPr>
              <a:t>Profit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00000"/>
          </a:solidFill>
          <a:ln>
            <a:solidFill>
              <a:schemeClr val="tx1"/>
            </a:solidFill>
          </a:ln>
          <a:effectLst/>
        </c:spPr>
      </c:pivotFmt>
      <c:pivotFmt>
        <c:idx val="2"/>
        <c:spPr>
          <a:solidFill>
            <a:srgbClr val="00B050"/>
          </a:solidFill>
          <a:ln>
            <a:solidFill>
              <a:schemeClr val="tx1"/>
            </a:solidFill>
          </a:ln>
          <a:effectLst/>
        </c:spPr>
      </c:pivotFmt>
      <c:pivotFmt>
        <c:idx val="3"/>
        <c:spPr>
          <a:solidFill>
            <a:srgbClr val="FFC000"/>
          </a:solidFill>
          <a:ln>
            <a:solidFill>
              <a:schemeClr val="tx1"/>
            </a:solidFill>
          </a:ln>
          <a:effectLst/>
        </c:spPr>
      </c:pivotFmt>
      <c:pivotFmt>
        <c:idx val="4"/>
        <c:spPr>
          <a:solidFill>
            <a:srgbClr val="00B0F0"/>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solidFill>
              <a:schemeClr val="tx1"/>
            </a:solidFill>
          </a:ln>
          <a:effectLst/>
        </c:spPr>
      </c:pivotFmt>
      <c:pivotFmt>
        <c:idx val="6"/>
        <c:spPr>
          <a:solidFill>
            <a:srgbClr val="FFC000"/>
          </a:solidFill>
          <a:ln>
            <a:solidFill>
              <a:schemeClr val="tx1"/>
            </a:solidFill>
          </a:ln>
          <a:effectLst/>
        </c:spPr>
      </c:pivotFmt>
      <c:pivotFmt>
        <c:idx val="7"/>
        <c:spPr>
          <a:solidFill>
            <a:srgbClr val="F00000"/>
          </a:solidFill>
          <a:ln>
            <a:solidFill>
              <a:schemeClr val="tx1"/>
            </a:solidFill>
          </a:ln>
          <a:effectLst/>
        </c:spPr>
      </c:pivotFmt>
    </c:pivotFmts>
    <c:plotArea>
      <c:layout/>
      <c:barChart>
        <c:barDir val="col"/>
        <c:grouping val="clustered"/>
        <c:varyColors val="0"/>
        <c:ser>
          <c:idx val="0"/>
          <c:order val="0"/>
          <c:tx>
            <c:strRef>
              <c:f>'CaseStudy-4'!$D$10</c:f>
              <c:strCache>
                <c:ptCount val="1"/>
                <c:pt idx="0">
                  <c:v>Total</c:v>
                </c:pt>
              </c:strCache>
            </c:strRef>
          </c:tx>
          <c:spPr>
            <a:solidFill>
              <a:srgbClr val="00B0F0"/>
            </a:solidFill>
            <a:ln>
              <a:solidFill>
                <a:schemeClr val="tx1"/>
              </a:solidFill>
            </a:ln>
            <a:effectLst/>
          </c:spPr>
          <c:invertIfNegative val="0"/>
          <c:dPt>
            <c:idx val="0"/>
            <c:invertIfNegative val="0"/>
            <c:bubble3D val="0"/>
            <c:spPr>
              <a:solidFill>
                <a:srgbClr val="00B050"/>
              </a:solidFill>
              <a:ln>
                <a:solidFill>
                  <a:schemeClr val="tx1"/>
                </a:solidFill>
              </a:ln>
              <a:effectLst/>
            </c:spPr>
            <c:extLst>
              <c:ext xmlns:c16="http://schemas.microsoft.com/office/drawing/2014/chart" uri="{C3380CC4-5D6E-409C-BE32-E72D297353CC}">
                <c16:uniqueId val="{00000001-19AF-4E45-803D-F8D25B213E6C}"/>
              </c:ext>
            </c:extLst>
          </c:dPt>
          <c:dPt>
            <c:idx val="1"/>
            <c:invertIfNegative val="0"/>
            <c:bubble3D val="0"/>
            <c:spPr>
              <a:solidFill>
                <a:srgbClr val="FFC000"/>
              </a:solidFill>
              <a:ln>
                <a:solidFill>
                  <a:schemeClr val="tx1"/>
                </a:solidFill>
              </a:ln>
              <a:effectLst/>
            </c:spPr>
            <c:extLst>
              <c:ext xmlns:c16="http://schemas.microsoft.com/office/drawing/2014/chart" uri="{C3380CC4-5D6E-409C-BE32-E72D297353CC}">
                <c16:uniqueId val="{00000003-19AF-4E45-803D-F8D25B213E6C}"/>
              </c:ext>
            </c:extLst>
          </c:dPt>
          <c:dPt>
            <c:idx val="2"/>
            <c:invertIfNegative val="0"/>
            <c:bubble3D val="0"/>
            <c:spPr>
              <a:solidFill>
                <a:srgbClr val="F00000"/>
              </a:solidFill>
              <a:ln>
                <a:solidFill>
                  <a:schemeClr val="tx1"/>
                </a:solidFill>
              </a:ln>
              <a:effectLst/>
            </c:spPr>
            <c:extLst>
              <c:ext xmlns:c16="http://schemas.microsoft.com/office/drawing/2014/chart" uri="{C3380CC4-5D6E-409C-BE32-E72D297353CC}">
                <c16:uniqueId val="{00000005-19AF-4E45-803D-F8D25B213E6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'CaseStudy-4'!$C$11:$C$14</c:f>
              <c:strCache>
                <c:ptCount val="3"/>
                <c:pt idx="0">
                  <c:v>Best Case</c:v>
                </c:pt>
                <c:pt idx="1">
                  <c:v>Normal Case</c:v>
                </c:pt>
                <c:pt idx="2">
                  <c:v>Worst Case</c:v>
                </c:pt>
              </c:strCache>
            </c:strRef>
          </c:cat>
          <c:val>
            <c:numRef>
              <c:f>'CaseStudy-4'!$D$11:$D$14</c:f>
              <c:numCache>
                <c:formatCode>#,##0</c:formatCode>
                <c:ptCount val="3"/>
                <c:pt idx="0">
                  <c:v>260000</c:v>
                </c:pt>
                <c:pt idx="1">
                  <c:v>90000</c:v>
                </c:pt>
                <c:pt idx="2">
                  <c:v>-70000</c:v>
                </c:pt>
              </c:numCache>
            </c:numRef>
          </c:val>
          <c:extLst>
            <c:ext xmlns:c16="http://schemas.microsoft.com/office/drawing/2014/chart" uri="{C3380CC4-5D6E-409C-BE32-E72D297353CC}">
              <c16:uniqueId val="{00000006-19AF-4E45-803D-F8D25B213E6C}"/>
            </c:ext>
          </c:extLst>
        </c:ser>
        <c:dLbls>
          <c:dLblPos val="outEnd"/>
          <c:showLegendKey val="0"/>
          <c:showVal val="1"/>
          <c:showCatName val="0"/>
          <c:showSerName val="0"/>
          <c:showPercent val="0"/>
          <c:showBubbleSize val="0"/>
        </c:dLbls>
        <c:gapWidth val="219"/>
        <c:overlap val="-27"/>
        <c:axId val="1552258335"/>
        <c:axId val="1552261215"/>
      </c:barChart>
      <c:catAx>
        <c:axId val="1552258335"/>
        <c:scaling>
          <c:orientation val="minMax"/>
        </c:scaling>
        <c:delete val="0"/>
        <c:axPos val="b"/>
        <c:title>
          <c:tx>
            <c:rich>
              <a:bodyPr rot="0" spcFirstLastPara="1" vertOverflow="ellipsis" vert="horz" wrap="square" anchor="ctr" anchorCtr="1"/>
              <a:lstStyle/>
              <a:p>
                <a:pPr>
                  <a:defRPr sz="1020" b="1" i="0" u="none" strike="noStrike" kern="1200" baseline="0">
                    <a:solidFill>
                      <a:schemeClr val="tx1"/>
                    </a:solidFill>
                    <a:latin typeface="+mn-lt"/>
                    <a:ea typeface="+mn-ea"/>
                    <a:cs typeface="+mn-cs"/>
                  </a:defRPr>
                </a:pPr>
                <a:r>
                  <a:rPr lang="en-US" sz="1020" b="1" i="0" baseline="0">
                    <a:solidFill>
                      <a:schemeClr val="tx1"/>
                    </a:solidFill>
                  </a:rPr>
                  <a:t>Scenarios</a:t>
                </a:r>
              </a:p>
            </c:rich>
          </c:tx>
          <c:overlay val="0"/>
          <c:spPr>
            <a:noFill/>
            <a:ln>
              <a:noFill/>
            </a:ln>
            <a:effectLst/>
          </c:spPr>
          <c:txPr>
            <a:bodyPr rot="0" spcFirstLastPara="1" vertOverflow="ellipsis" vert="horz" wrap="square" anchor="ctr" anchorCtr="1"/>
            <a:lstStyle/>
            <a:p>
              <a:pPr>
                <a:defRPr sz="102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52261215"/>
        <c:crosses val="autoZero"/>
        <c:auto val="1"/>
        <c:lblAlgn val="ctr"/>
        <c:lblOffset val="100"/>
        <c:noMultiLvlLbl val="0"/>
      </c:catAx>
      <c:valAx>
        <c:axId val="15522612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20" b="1" i="0" u="none" strike="noStrike" kern="1200" baseline="0">
                    <a:solidFill>
                      <a:schemeClr val="tx1"/>
                    </a:solidFill>
                    <a:latin typeface="+mn-lt"/>
                    <a:ea typeface="+mn-ea"/>
                    <a:cs typeface="+mn-cs"/>
                  </a:defRPr>
                </a:pPr>
                <a:r>
                  <a:rPr lang="en-US" sz="1020" b="1" i="0" baseline="0">
                    <a:solidFill>
                      <a:schemeClr val="tx1"/>
                    </a:solidFill>
                  </a:rPr>
                  <a:t>Profit</a:t>
                </a:r>
              </a:p>
            </c:rich>
          </c:tx>
          <c:overlay val="0"/>
          <c:spPr>
            <a:noFill/>
            <a:ln>
              <a:noFill/>
            </a:ln>
            <a:effectLst/>
          </c:spPr>
          <c:txPr>
            <a:bodyPr rot="-5400000" spcFirstLastPara="1" vertOverflow="ellipsis" vert="horz" wrap="square" anchor="ctr" anchorCtr="1"/>
            <a:lstStyle/>
            <a:p>
              <a:pPr>
                <a:defRPr sz="1020" b="1"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52258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7030A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ASSIGNMENT – Case Studies.xlsx]CaseStudy-4!PivotTable2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00B050"/>
                </a:solidFill>
                <a:effectLst/>
              </a:rPr>
              <a:t>Comparision of Sales and Total Expenses</a:t>
            </a:r>
            <a:endParaRPr lang="en-US" b="1" i="0" baseline="0">
              <a:solidFill>
                <a:srgbClr val="00B05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'CaseStudy-4'!$H$11</c:f>
              <c:strCache>
                <c:ptCount val="1"/>
                <c:pt idx="0">
                  <c:v>Sum of Sales</c:v>
                </c:pt>
              </c:strCache>
            </c:strRef>
          </c:tx>
          <c:spPr>
            <a:solidFill>
              <a:srgbClr val="00B0F0"/>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'CaseStudy-4'!$G$12:$G$15</c:f>
              <c:strCache>
                <c:ptCount val="3"/>
                <c:pt idx="0">
                  <c:v>Best Case</c:v>
                </c:pt>
                <c:pt idx="1">
                  <c:v>Normal Case</c:v>
                </c:pt>
                <c:pt idx="2">
                  <c:v>Worst Case</c:v>
                </c:pt>
              </c:strCache>
            </c:strRef>
          </c:cat>
          <c:val>
            <c:numRef>
              <c:f>'CaseStudy-4'!$H$12:$H$15</c:f>
              <c:numCache>
                <c:formatCode>#,##0</c:formatCode>
                <c:ptCount val="3"/>
                <c:pt idx="0">
                  <c:v>900000</c:v>
                </c:pt>
                <c:pt idx="1">
                  <c:v>700000</c:v>
                </c:pt>
                <c:pt idx="2">
                  <c:v>500000</c:v>
                </c:pt>
              </c:numCache>
            </c:numRef>
          </c:val>
          <c:extLst>
            <c:ext xmlns:c16="http://schemas.microsoft.com/office/drawing/2014/chart" uri="{C3380CC4-5D6E-409C-BE32-E72D297353CC}">
              <c16:uniqueId val="{00000000-7C75-42DA-9D77-820D9812CCC9}"/>
            </c:ext>
          </c:extLst>
        </c:ser>
        <c:ser>
          <c:idx val="1"/>
          <c:order val="1"/>
          <c:tx>
            <c:strRef>
              <c:f>'CaseStudy-4'!$I$11</c:f>
              <c:strCache>
                <c:ptCount val="1"/>
                <c:pt idx="0">
                  <c:v>Sum of Total Expenses</c:v>
                </c:pt>
              </c:strCache>
            </c:strRef>
          </c:tx>
          <c:spPr>
            <a:solidFill>
              <a:schemeClr val="accent4">
                <a:lumMod val="60000"/>
                <a:lumOff val="4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'CaseStudy-4'!$G$12:$G$15</c:f>
              <c:strCache>
                <c:ptCount val="3"/>
                <c:pt idx="0">
                  <c:v>Best Case</c:v>
                </c:pt>
                <c:pt idx="1">
                  <c:v>Normal Case</c:v>
                </c:pt>
                <c:pt idx="2">
                  <c:v>Worst Case</c:v>
                </c:pt>
              </c:strCache>
            </c:strRef>
          </c:cat>
          <c:val>
            <c:numRef>
              <c:f>'CaseStudy-4'!$I$12:$I$15</c:f>
              <c:numCache>
                <c:formatCode>#,##0</c:formatCode>
                <c:ptCount val="3"/>
                <c:pt idx="0">
                  <c:v>640000</c:v>
                </c:pt>
                <c:pt idx="1">
                  <c:v>610000</c:v>
                </c:pt>
                <c:pt idx="2">
                  <c:v>570000</c:v>
                </c:pt>
              </c:numCache>
            </c:numRef>
          </c:val>
          <c:extLst>
            <c:ext xmlns:c16="http://schemas.microsoft.com/office/drawing/2014/chart" uri="{C3380CC4-5D6E-409C-BE32-E72D297353CC}">
              <c16:uniqueId val="{00000001-7C75-42DA-9D77-820D9812CCC9}"/>
            </c:ext>
          </c:extLst>
        </c:ser>
        <c:dLbls>
          <c:dLblPos val="outEnd"/>
          <c:showLegendKey val="0"/>
          <c:showVal val="1"/>
          <c:showCatName val="0"/>
          <c:showSerName val="0"/>
          <c:showPercent val="0"/>
          <c:showBubbleSize val="0"/>
        </c:dLbls>
        <c:gapWidth val="219"/>
        <c:overlap val="-27"/>
        <c:axId val="1552274175"/>
        <c:axId val="1552274655"/>
      </c:barChart>
      <c:catAx>
        <c:axId val="15522741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kern="1200" baseline="0">
                    <a:solidFill>
                      <a:schemeClr val="tx1"/>
                    </a:solidFill>
                  </a:rPr>
                  <a:t>Scenarios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52274655"/>
        <c:crosses val="autoZero"/>
        <c:auto val="1"/>
        <c:lblAlgn val="ctr"/>
        <c:lblOffset val="100"/>
        <c:noMultiLvlLbl val="0"/>
      </c:catAx>
      <c:valAx>
        <c:axId val="1552274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20" b="1" i="0" baseline="0">
                    <a:solidFill>
                      <a:schemeClr val="tx1"/>
                    </a:solidFill>
                  </a:rPr>
                  <a:t>Sales  &amp; Toatl Expenses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52274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7030A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11</xdr:col>
      <xdr:colOff>236220</xdr:colOff>
      <xdr:row>1</xdr:row>
      <xdr:rowOff>106680</xdr:rowOff>
    </xdr:from>
    <xdr:to>
      <xdr:col>19</xdr:col>
      <xdr:colOff>246062</xdr:colOff>
      <xdr:row>6</xdr:row>
      <xdr:rowOff>71438</xdr:rowOff>
    </xdr:to>
    <xdr:sp macro="" textlink="">
      <xdr:nvSpPr>
        <xdr:cNvPr id="5" name="TextBox 4">
          <a:extLst>
            <a:ext uri="{FF2B5EF4-FFF2-40B4-BE49-F238E27FC236}">
              <a16:creationId xmlns:a16="http://schemas.microsoft.com/office/drawing/2014/main" id="{392370A0-2C62-A8C8-09EB-C43D68125C33}"/>
            </a:ext>
          </a:extLst>
        </xdr:cNvPr>
        <xdr:cNvSpPr txBox="1"/>
      </xdr:nvSpPr>
      <xdr:spPr>
        <a:xfrm>
          <a:off x="8911908" y="424180"/>
          <a:ext cx="4978717" cy="8855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lvl="0" indent="-171450">
            <a:buFont typeface="Arial" panose="020B0604020202020204" pitchFamily="34" charset="0"/>
            <a:buChar char="•"/>
          </a:pPr>
          <a:r>
            <a:rPr lang="en-US" sz="1100" b="1">
              <a:solidFill>
                <a:srgbClr val="F00000"/>
              </a:solidFill>
              <a:effectLst/>
              <a:latin typeface="Arial Narrow" panose="020B0606020202030204" pitchFamily="34" charset="0"/>
              <a:ea typeface="+mn-ea"/>
              <a:cs typeface="+mn-cs"/>
            </a:rPr>
            <a:t>The longest task is</a:t>
          </a:r>
          <a:r>
            <a:rPr lang="en-US" sz="1100" b="1" baseline="0">
              <a:solidFill>
                <a:srgbClr val="F00000"/>
              </a:solidFill>
              <a:effectLst/>
              <a:latin typeface="Arial Narrow" panose="020B0606020202030204" pitchFamily="34" charset="0"/>
              <a:ea typeface="+mn-ea"/>
              <a:cs typeface="+mn-cs"/>
            </a:rPr>
            <a:t> </a:t>
          </a:r>
          <a:r>
            <a:rPr lang="en-US" sz="1100" b="1">
              <a:solidFill>
                <a:srgbClr val="F00000"/>
              </a:solidFill>
              <a:effectLst/>
              <a:latin typeface="Arial Narrow" panose="020B0606020202030204" pitchFamily="34" charset="0"/>
              <a:ea typeface="+mn-ea"/>
              <a:cs typeface="+mn-cs"/>
            </a:rPr>
            <a:t>Backend Development.</a:t>
          </a:r>
        </a:p>
        <a:p>
          <a:pPr marL="171450" lvl="0" indent="-171450">
            <a:buFont typeface="Arial" panose="020B0604020202020204" pitchFamily="34" charset="0"/>
            <a:buChar char="•"/>
          </a:pPr>
          <a:r>
            <a:rPr lang="en-US" sz="1100" b="1">
              <a:solidFill>
                <a:srgbClr val="F00000"/>
              </a:solidFill>
              <a:effectLst/>
              <a:latin typeface="Arial Narrow" panose="020B0606020202030204" pitchFamily="34" charset="0"/>
              <a:ea typeface="+mn-ea"/>
              <a:cs typeface="+mn-cs"/>
            </a:rPr>
            <a:t>The Tasks that overlap is Frontend Development (Last Half</a:t>
          </a:r>
          <a:r>
            <a:rPr lang="en-US" sz="1100" b="1" baseline="0">
              <a:solidFill>
                <a:srgbClr val="F00000"/>
              </a:solidFill>
              <a:effectLst/>
              <a:latin typeface="Arial Narrow" panose="020B0606020202030204" pitchFamily="34" charset="0"/>
              <a:ea typeface="+mn-ea"/>
              <a:cs typeface="+mn-cs"/>
            </a:rPr>
            <a:t>)</a:t>
          </a:r>
          <a:r>
            <a:rPr lang="en-US" sz="1100" b="1">
              <a:solidFill>
                <a:srgbClr val="F00000"/>
              </a:solidFill>
              <a:effectLst/>
              <a:latin typeface="Arial Narrow" panose="020B0606020202030204" pitchFamily="34" charset="0"/>
              <a:ea typeface="+mn-ea"/>
              <a:cs typeface="+mn-cs"/>
            </a:rPr>
            <a:t> &amp; Backend Development (First Half).</a:t>
          </a:r>
        </a:p>
        <a:p>
          <a:pPr marL="171450" lvl="0" indent="-171450">
            <a:buFont typeface="Arial" panose="020B0604020202020204" pitchFamily="34" charset="0"/>
            <a:buChar char="•"/>
          </a:pPr>
          <a:r>
            <a:rPr lang="en-US" sz="1100" b="1">
              <a:solidFill>
                <a:srgbClr val="F00000"/>
              </a:solidFill>
              <a:effectLst/>
              <a:latin typeface="Arial Narrow" panose="020B0606020202030204" pitchFamily="34" charset="0"/>
              <a:ea typeface="+mn-ea"/>
              <a:cs typeface="+mn-cs"/>
            </a:rPr>
            <a:t>The total project duration - 54 days.</a:t>
          </a:r>
        </a:p>
        <a:p>
          <a:endParaRPr lang="en-US" sz="1100"/>
        </a:p>
      </xdr:txBody>
    </xdr:sp>
    <xdr:clientData/>
  </xdr:twoCellAnchor>
  <xdr:twoCellAnchor>
    <xdr:from>
      <xdr:col>1</xdr:col>
      <xdr:colOff>495300</xdr:colOff>
      <xdr:row>11</xdr:row>
      <xdr:rowOff>30480</xdr:rowOff>
    </xdr:from>
    <xdr:to>
      <xdr:col>17</xdr:col>
      <xdr:colOff>152400</xdr:colOff>
      <xdr:row>33</xdr:row>
      <xdr:rowOff>106680</xdr:rowOff>
    </xdr:to>
    <xdr:graphicFrame macro="">
      <xdr:nvGraphicFramePr>
        <xdr:cNvPr id="6" name="Chart 5">
          <a:extLst>
            <a:ext uri="{FF2B5EF4-FFF2-40B4-BE49-F238E27FC236}">
              <a16:creationId xmlns:a16="http://schemas.microsoft.com/office/drawing/2014/main" id="{9EBBCBF1-1927-1D6C-CEAE-21057A5407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17</xdr:col>
      <xdr:colOff>306660</xdr:colOff>
      <xdr:row>1</xdr:row>
      <xdr:rowOff>102221</xdr:rowOff>
    </xdr:from>
    <xdr:to>
      <xdr:col>23</xdr:col>
      <xdr:colOff>557561</xdr:colOff>
      <xdr:row>23</xdr:row>
      <xdr:rowOff>167268</xdr:rowOff>
    </xdr:to>
    <xdr:sp macro="" textlink="">
      <xdr:nvSpPr>
        <xdr:cNvPr id="2" name="TextBox 1">
          <a:extLst>
            <a:ext uri="{FF2B5EF4-FFF2-40B4-BE49-F238E27FC236}">
              <a16:creationId xmlns:a16="http://schemas.microsoft.com/office/drawing/2014/main" id="{8EEE0AE2-96C0-4B2A-8219-CAC2E92CE0E6}"/>
            </a:ext>
          </a:extLst>
        </xdr:cNvPr>
        <xdr:cNvSpPr txBox="1"/>
      </xdr:nvSpPr>
      <xdr:spPr>
        <a:xfrm>
          <a:off x="13335001" y="483221"/>
          <a:ext cx="3930804" cy="4172413"/>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solidFill>
                <a:schemeClr val="dk1"/>
              </a:solidFill>
              <a:effectLst/>
              <a:latin typeface="Arial Narrow" panose="020B0606020202030204" pitchFamily="34" charset="0"/>
              <a:ea typeface="+mn-ea"/>
              <a:cs typeface="+mn-cs"/>
            </a:rPr>
            <a:t>Business Insight</a:t>
          </a:r>
          <a:r>
            <a:rPr lang="en-US" sz="1600" b="1" baseline="0">
              <a:solidFill>
                <a:schemeClr val="dk1"/>
              </a:solidFill>
              <a:effectLst/>
              <a:latin typeface="Arial Narrow" panose="020B0606020202030204" pitchFamily="34" charset="0"/>
              <a:ea typeface="+mn-ea"/>
              <a:cs typeface="+mn-cs"/>
            </a:rPr>
            <a:t>s: </a:t>
          </a:r>
          <a:endParaRPr lang="en-US" sz="1600" b="1">
            <a:solidFill>
              <a:schemeClr val="dk1"/>
            </a:solidFill>
            <a:effectLst/>
            <a:latin typeface="Arial Narrow" panose="020B0606020202030204" pitchFamily="34" charset="0"/>
            <a:ea typeface="+mn-ea"/>
            <a:cs typeface="+mn-cs"/>
          </a:endParaRPr>
        </a:p>
        <a:p>
          <a:pPr marL="171450" lvl="0" indent="-171450">
            <a:buFont typeface="Arial" panose="020B0604020202020204" pitchFamily="34" charset="0"/>
            <a:buChar char="•"/>
          </a:pPr>
          <a:r>
            <a:rPr lang="en-US" sz="1600" b="1">
              <a:solidFill>
                <a:schemeClr val="dk1"/>
              </a:solidFill>
              <a:effectLst/>
              <a:latin typeface="Arial Narrow" panose="020B0606020202030204" pitchFamily="34" charset="0"/>
              <a:ea typeface="+mn-ea"/>
              <a:cs typeface="+mn-cs"/>
            </a:rPr>
            <a:t>The sales trend is increasing.</a:t>
          </a:r>
        </a:p>
        <a:p>
          <a:pPr marL="171450" lvl="0" indent="-171450">
            <a:buFont typeface="Arial" panose="020B0604020202020204" pitchFamily="34" charset="0"/>
            <a:buChar char="•"/>
          </a:pPr>
          <a:r>
            <a:rPr lang="en-US" sz="1600" b="1">
              <a:solidFill>
                <a:schemeClr val="dk1"/>
              </a:solidFill>
              <a:effectLst/>
              <a:latin typeface="Arial Narrow" panose="020B0606020202030204" pitchFamily="34" charset="0"/>
              <a:ea typeface="+mn-ea"/>
              <a:cs typeface="+mn-cs"/>
            </a:rPr>
            <a:t>The month with the highest actual sales Dec 2026 with </a:t>
          </a:r>
          <a:r>
            <a:rPr lang="en-US" sz="1600" b="1" i="0">
              <a:solidFill>
                <a:schemeClr val="dk1"/>
              </a:solidFill>
              <a:effectLst/>
              <a:latin typeface="Arial Narrow" panose="020B0606020202030204" pitchFamily="34" charset="0"/>
              <a:ea typeface="+mn-ea"/>
              <a:cs typeface="+mn-cs"/>
            </a:rPr>
            <a:t>₹</a:t>
          </a:r>
          <a:r>
            <a:rPr lang="en-US" sz="1600" b="1">
              <a:solidFill>
                <a:schemeClr val="dk1"/>
              </a:solidFill>
              <a:effectLst/>
              <a:latin typeface="Arial Narrow" panose="020B0606020202030204" pitchFamily="34" charset="0"/>
              <a:ea typeface="+mn-ea"/>
              <a:cs typeface="+mn-cs"/>
            </a:rPr>
            <a:t>84000.</a:t>
          </a:r>
        </a:p>
        <a:p>
          <a:pPr marL="0" lvl="0" indent="0">
            <a:buFontTx/>
            <a:buNone/>
          </a:pPr>
          <a:endParaRPr lang="en-US" sz="1600" b="1">
            <a:solidFill>
              <a:schemeClr val="dk1"/>
            </a:solidFill>
            <a:effectLst/>
            <a:latin typeface="Arial Narrow" panose="020B0606020202030204" pitchFamily="34" charset="0"/>
            <a:ea typeface="+mn-ea"/>
            <a:cs typeface="+mn-cs"/>
          </a:endParaRPr>
        </a:p>
        <a:p>
          <a:pPr marL="0" lvl="0" indent="0">
            <a:buFontTx/>
            <a:buNone/>
          </a:pPr>
          <a:r>
            <a:rPr lang="en-US" sz="1600" b="1">
              <a:solidFill>
                <a:schemeClr val="dk1"/>
              </a:solidFill>
              <a:effectLst/>
              <a:latin typeface="Arial Narrow" panose="020B0606020202030204" pitchFamily="34" charset="0"/>
              <a:ea typeface="+mn-ea"/>
              <a:cs typeface="+mn-cs"/>
            </a:rPr>
            <a:t> Q.</a:t>
          </a:r>
          <a:r>
            <a:rPr lang="en-US" sz="1600" b="1" baseline="0">
              <a:solidFill>
                <a:schemeClr val="dk1"/>
              </a:solidFill>
              <a:effectLst/>
              <a:latin typeface="Arial Narrow" panose="020B0606020202030204" pitchFamily="34" charset="0"/>
              <a:ea typeface="+mn-ea"/>
              <a:cs typeface="+mn-cs"/>
            </a:rPr>
            <a:t> </a:t>
          </a:r>
          <a:r>
            <a:rPr lang="en-US" sz="1600" b="1">
              <a:solidFill>
                <a:schemeClr val="dk1"/>
              </a:solidFill>
              <a:effectLst/>
              <a:latin typeface="Arial Narrow" panose="020B0606020202030204" pitchFamily="34" charset="0"/>
              <a:ea typeface="+mn-ea"/>
              <a:cs typeface="+mn-cs"/>
            </a:rPr>
            <a:t>What does this forecast mean for Management? </a:t>
          </a:r>
        </a:p>
        <a:p>
          <a:pPr marL="0" lvl="0" indent="0">
            <a:buFontTx/>
            <a:buNone/>
          </a:pPr>
          <a:r>
            <a:rPr lang="en-US" sz="1600" b="1">
              <a:solidFill>
                <a:schemeClr val="dk1"/>
              </a:solidFill>
              <a:effectLst/>
              <a:latin typeface="Arial Narrow" panose="020B0606020202030204" pitchFamily="34" charset="0"/>
              <a:ea typeface="+mn-ea"/>
              <a:cs typeface="+mn-cs"/>
            </a:rPr>
            <a:t>Ans:-</a:t>
          </a:r>
          <a:r>
            <a:rPr lang="en-US" sz="1600" b="1" baseline="0">
              <a:solidFill>
                <a:schemeClr val="dk1"/>
              </a:solidFill>
              <a:effectLst/>
              <a:latin typeface="Arial Narrow" panose="020B0606020202030204" pitchFamily="34" charset="0"/>
              <a:ea typeface="+mn-ea"/>
              <a:cs typeface="+mn-cs"/>
            </a:rPr>
            <a:t> </a:t>
          </a:r>
          <a:r>
            <a:rPr lang="en-US" sz="1600" b="1">
              <a:solidFill>
                <a:schemeClr val="dk1"/>
              </a:solidFill>
              <a:effectLst/>
              <a:latin typeface="Arial Narrow" panose="020B0606020202030204" pitchFamily="34" charset="0"/>
              <a:ea typeface="+mn-ea"/>
              <a:cs typeface="+mn-cs"/>
            </a:rPr>
            <a:t>Forecasting means estimating future business outcomes based on historical data and current trends. For management, it helps in better planning, budgeting, and decision-making. It reduces uncertainty and helps the company prepare for future risks and opportunities.</a:t>
          </a:r>
        </a:p>
        <a:p>
          <a:pPr marL="0" lvl="0" indent="0">
            <a:buFontTx/>
            <a:buNone/>
          </a:pPr>
          <a:endParaRPr lang="en-US" sz="1100" b="1">
            <a:latin typeface="Arial Narrow" panose="020B0606020202030204" pitchFamily="34" charset="0"/>
          </a:endParaRPr>
        </a:p>
      </xdr:txBody>
    </xdr:sp>
    <xdr:clientData/>
  </xdr:twoCellAnchor>
  <xdr:twoCellAnchor>
    <xdr:from>
      <xdr:col>4</xdr:col>
      <xdr:colOff>191244</xdr:colOff>
      <xdr:row>1</xdr:row>
      <xdr:rowOff>62446</xdr:rowOff>
    </xdr:from>
    <xdr:to>
      <xdr:col>17</xdr:col>
      <xdr:colOff>27878</xdr:colOff>
      <xdr:row>29</xdr:row>
      <xdr:rowOff>74342</xdr:rowOff>
    </xdr:to>
    <xdr:graphicFrame macro="">
      <xdr:nvGraphicFramePr>
        <xdr:cNvPr id="3" name="Chart 2">
          <a:extLst>
            <a:ext uri="{FF2B5EF4-FFF2-40B4-BE49-F238E27FC236}">
              <a16:creationId xmlns:a16="http://schemas.microsoft.com/office/drawing/2014/main" id="{69BF31D1-30AD-C009-CDE9-4DDF76ADEA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464820</xdr:colOff>
      <xdr:row>4</xdr:row>
      <xdr:rowOff>53340</xdr:rowOff>
    </xdr:from>
    <xdr:to>
      <xdr:col>19</xdr:col>
      <xdr:colOff>358140</xdr:colOff>
      <xdr:row>32</xdr:row>
      <xdr:rowOff>144780</xdr:rowOff>
    </xdr:to>
    <xdr:graphicFrame macro="">
      <xdr:nvGraphicFramePr>
        <xdr:cNvPr id="2" name="Chart 1">
          <a:extLst>
            <a:ext uri="{FF2B5EF4-FFF2-40B4-BE49-F238E27FC236}">
              <a16:creationId xmlns:a16="http://schemas.microsoft.com/office/drawing/2014/main" id="{A8E76091-60C6-9DD1-76A8-4FC7D4883E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525780</xdr:colOff>
      <xdr:row>3</xdr:row>
      <xdr:rowOff>0</xdr:rowOff>
    </xdr:from>
    <xdr:to>
      <xdr:col>19</xdr:col>
      <xdr:colOff>297180</xdr:colOff>
      <xdr:row>7</xdr:row>
      <xdr:rowOff>45720</xdr:rowOff>
    </xdr:to>
    <xdr:sp macro="" textlink="">
      <xdr:nvSpPr>
        <xdr:cNvPr id="2" name="TextBox 1">
          <a:extLst>
            <a:ext uri="{FF2B5EF4-FFF2-40B4-BE49-F238E27FC236}">
              <a16:creationId xmlns:a16="http://schemas.microsoft.com/office/drawing/2014/main" id="{3E5FB03D-AB29-4556-88C7-18B43C5A17D7}"/>
            </a:ext>
          </a:extLst>
        </xdr:cNvPr>
        <xdr:cNvSpPr txBox="1"/>
      </xdr:nvSpPr>
      <xdr:spPr>
        <a:xfrm>
          <a:off x="8100060" y="762000"/>
          <a:ext cx="5257800" cy="77724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100" b="1">
              <a:solidFill>
                <a:schemeClr val="dk1"/>
              </a:solidFill>
              <a:effectLst/>
              <a:latin typeface="+mn-lt"/>
              <a:ea typeface="+mn-ea"/>
              <a:cs typeface="+mn-cs"/>
            </a:rPr>
            <a:t>Business Insight</a:t>
          </a:r>
          <a:r>
            <a:rPr lang="en-US" sz="1100" b="1" baseline="0">
              <a:solidFill>
                <a:schemeClr val="dk1"/>
              </a:solidFill>
              <a:effectLst/>
              <a:latin typeface="+mn-lt"/>
              <a:ea typeface="+mn-ea"/>
              <a:cs typeface="+mn-cs"/>
            </a:rPr>
            <a:t>s: </a:t>
          </a:r>
          <a:endParaRPr lang="en-US" sz="1100" b="1" i="0" u="none" strike="noStrike">
            <a:solidFill>
              <a:schemeClr val="dk1"/>
            </a:solidFill>
            <a:effectLst/>
            <a:latin typeface="Arial Narrow" panose="020B0606020202030204" pitchFamily="34" charset="0"/>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1" i="0" u="none" strike="noStrike">
              <a:solidFill>
                <a:schemeClr val="dk1"/>
              </a:solidFill>
              <a:effectLst/>
              <a:latin typeface="Arial Narrow" panose="020B0606020202030204" pitchFamily="34" charset="0"/>
              <a:ea typeface="+mn-ea"/>
              <a:cs typeface="+mn-cs"/>
            </a:rPr>
            <a:t>The scenario with the highest profit</a:t>
          </a:r>
          <a:r>
            <a:rPr lang="en-US" sz="1100" b="1" i="0" u="none" strike="noStrike" baseline="0">
              <a:solidFill>
                <a:schemeClr val="dk1"/>
              </a:solidFill>
              <a:effectLst/>
              <a:latin typeface="Arial Narrow" panose="020B0606020202030204" pitchFamily="34" charset="0"/>
              <a:ea typeface="+mn-ea"/>
              <a:cs typeface="+mn-cs"/>
            </a:rPr>
            <a:t> is </a:t>
          </a:r>
          <a:r>
            <a:rPr lang="en-US" sz="1100" b="1" i="0" u="none" strike="noStrike">
              <a:solidFill>
                <a:schemeClr val="dk1"/>
              </a:solidFill>
              <a:effectLst/>
              <a:latin typeface="Arial Narrow" panose="020B0606020202030204" pitchFamily="34" charset="0"/>
              <a:ea typeface="+mn-ea"/>
              <a:cs typeface="+mn-cs"/>
            </a:rPr>
            <a:t>Best Case with ₹4,50,000 profit.</a:t>
          </a:r>
          <a:r>
            <a:rPr lang="en-US" sz="1100" b="1">
              <a:effectLst/>
              <a:latin typeface="Arial Narrow" panose="020B0606020202030204" pitchFamily="34" charset="0"/>
            </a:rPr>
            <a:t> </a:t>
          </a:r>
          <a:endParaRPr lang="en-US" sz="1100" b="1" i="0" u="none" strike="noStrike">
            <a:solidFill>
              <a:schemeClr val="dk1"/>
            </a:solidFill>
            <a:effectLst/>
            <a:latin typeface="Arial Narrow" panose="020B0606020202030204" pitchFamily="34" charset="0"/>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1" i="0" u="none" strike="noStrike">
              <a:solidFill>
                <a:schemeClr val="dk1"/>
              </a:solidFill>
              <a:effectLst/>
              <a:latin typeface="Arial Narrow" panose="020B0606020202030204" pitchFamily="34" charset="0"/>
              <a:ea typeface="+mn-ea"/>
              <a:cs typeface="+mn-cs"/>
            </a:rPr>
            <a:t>The scenario with the greatest business risk is Worst Case with</a:t>
          </a:r>
          <a:r>
            <a:rPr lang="en-US" sz="1100" b="1" i="0" u="none" strike="noStrike" baseline="0">
              <a:solidFill>
                <a:schemeClr val="dk1"/>
              </a:solidFill>
              <a:effectLst/>
              <a:latin typeface="Arial Narrow" panose="020B0606020202030204" pitchFamily="34" charset="0"/>
              <a:ea typeface="+mn-ea"/>
              <a:cs typeface="+mn-cs"/>
            </a:rPr>
            <a:t> </a:t>
          </a:r>
          <a:r>
            <a:rPr lang="en-US" sz="1100" b="1" i="0">
              <a:solidFill>
                <a:schemeClr val="dk1"/>
              </a:solidFill>
              <a:effectLst/>
              <a:latin typeface="+mn-lt"/>
              <a:ea typeface="+mn-ea"/>
              <a:cs typeface="+mn-cs"/>
            </a:rPr>
            <a:t>₹0</a:t>
          </a:r>
          <a:r>
            <a:rPr lang="en-US" sz="1100" b="1" i="0" u="none" strike="noStrike" baseline="0">
              <a:solidFill>
                <a:schemeClr val="dk1"/>
              </a:solidFill>
              <a:effectLst/>
              <a:latin typeface="Arial Narrow" panose="020B0606020202030204" pitchFamily="34" charset="0"/>
              <a:ea typeface="+mn-ea"/>
              <a:cs typeface="+mn-cs"/>
            </a:rPr>
            <a:t>.</a:t>
          </a:r>
          <a:endParaRPr lang="en-US" sz="1100" b="1">
            <a:effectLst/>
            <a:latin typeface="Arial Narrow" panose="020B0606020202030204" pitchFamily="34" charset="0"/>
          </a:endParaRPr>
        </a:p>
      </xdr:txBody>
    </xdr:sp>
    <xdr:clientData/>
  </xdr:twoCellAnchor>
  <xdr:twoCellAnchor>
    <xdr:from>
      <xdr:col>1</xdr:col>
      <xdr:colOff>251460</xdr:colOff>
      <xdr:row>8</xdr:row>
      <xdr:rowOff>30480</xdr:rowOff>
    </xdr:from>
    <xdr:to>
      <xdr:col>6</xdr:col>
      <xdr:colOff>708660</xdr:colOff>
      <xdr:row>28</xdr:row>
      <xdr:rowOff>160020</xdr:rowOff>
    </xdr:to>
    <xdr:graphicFrame macro="">
      <xdr:nvGraphicFramePr>
        <xdr:cNvPr id="3" name="Chart 2">
          <a:extLst>
            <a:ext uri="{FF2B5EF4-FFF2-40B4-BE49-F238E27FC236}">
              <a16:creationId xmlns:a16="http://schemas.microsoft.com/office/drawing/2014/main" id="{741DDD95-25D2-4768-9643-9E22E52837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502920</xdr:colOff>
      <xdr:row>6</xdr:row>
      <xdr:rowOff>125730</xdr:rowOff>
    </xdr:from>
    <xdr:to>
      <xdr:col>5</xdr:col>
      <xdr:colOff>144780</xdr:colOff>
      <xdr:row>29</xdr:row>
      <xdr:rowOff>160020</xdr:rowOff>
    </xdr:to>
    <xdr:graphicFrame macro="">
      <xdr:nvGraphicFramePr>
        <xdr:cNvPr id="2" name="Chart 1">
          <a:extLst>
            <a:ext uri="{FF2B5EF4-FFF2-40B4-BE49-F238E27FC236}">
              <a16:creationId xmlns:a16="http://schemas.microsoft.com/office/drawing/2014/main" id="{473FBC64-18EC-4A6B-A410-459D125EF8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464820</xdr:colOff>
      <xdr:row>6</xdr:row>
      <xdr:rowOff>121920</xdr:rowOff>
    </xdr:from>
    <xdr:to>
      <xdr:col>9</xdr:col>
      <xdr:colOff>937260</xdr:colOff>
      <xdr:row>29</xdr:row>
      <xdr:rowOff>106680</xdr:rowOff>
    </xdr:to>
    <xdr:graphicFrame macro="">
      <xdr:nvGraphicFramePr>
        <xdr:cNvPr id="3" name="Chart 2">
          <a:extLst>
            <a:ext uri="{FF2B5EF4-FFF2-40B4-BE49-F238E27FC236}">
              <a16:creationId xmlns:a16="http://schemas.microsoft.com/office/drawing/2014/main" id="{FFA433A8-0F7D-45DE-AF66-E76708D11B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91440</xdr:colOff>
      <xdr:row>0</xdr:row>
      <xdr:rowOff>182880</xdr:rowOff>
    </xdr:from>
    <xdr:to>
      <xdr:col>16</xdr:col>
      <xdr:colOff>388620</xdr:colOff>
      <xdr:row>24</xdr:row>
      <xdr:rowOff>0</xdr:rowOff>
    </xdr:to>
    <xdr:sp macro="" textlink="">
      <xdr:nvSpPr>
        <xdr:cNvPr id="4" name="TextBox 3">
          <a:extLst>
            <a:ext uri="{FF2B5EF4-FFF2-40B4-BE49-F238E27FC236}">
              <a16:creationId xmlns:a16="http://schemas.microsoft.com/office/drawing/2014/main" id="{DEDD10CF-4ADC-4752-818B-B143EDAD1C61}"/>
            </a:ext>
          </a:extLst>
        </xdr:cNvPr>
        <xdr:cNvSpPr txBox="1"/>
      </xdr:nvSpPr>
      <xdr:spPr>
        <a:xfrm>
          <a:off x="9928860" y="182880"/>
          <a:ext cx="3954780" cy="443484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100" b="1">
              <a:solidFill>
                <a:schemeClr val="dk1"/>
              </a:solidFill>
              <a:effectLst/>
              <a:latin typeface="+mn-lt"/>
              <a:ea typeface="+mn-ea"/>
              <a:cs typeface="+mn-cs"/>
            </a:rPr>
            <a:t>Business Insight</a:t>
          </a:r>
          <a:r>
            <a:rPr lang="en-US" sz="1100" b="1" baseline="0">
              <a:solidFill>
                <a:schemeClr val="dk1"/>
              </a:solidFill>
              <a:effectLst/>
              <a:latin typeface="+mn-lt"/>
              <a:ea typeface="+mn-ea"/>
              <a:cs typeface="+mn-cs"/>
            </a:rPr>
            <a:t>s: </a:t>
          </a:r>
          <a:endParaRPr lang="en-US" sz="1100" b="1">
            <a:solidFill>
              <a:schemeClr val="dk1"/>
            </a:solidFill>
            <a:effectLst/>
            <a:latin typeface="Arial Narrow" panose="020B0606020202030204" pitchFamily="34" charset="0"/>
            <a:ea typeface="+mn-ea"/>
            <a:cs typeface="+mn-cs"/>
          </a:endParaRPr>
        </a:p>
        <a:p>
          <a:pPr marL="171450" lvl="0" indent="-171450">
            <a:buFont typeface="Arial" panose="020B0604020202020204" pitchFamily="34" charset="0"/>
            <a:buChar char="•"/>
          </a:pPr>
          <a:r>
            <a:rPr lang="en-US" sz="1100" b="1">
              <a:solidFill>
                <a:schemeClr val="dk1"/>
              </a:solidFill>
              <a:effectLst/>
              <a:latin typeface="Arial Narrow" panose="020B0606020202030204" pitchFamily="34" charset="0"/>
              <a:ea typeface="+mn-ea"/>
              <a:cs typeface="+mn-cs"/>
            </a:rPr>
            <a:t>The scenario with the highest sales</a:t>
          </a:r>
          <a:r>
            <a:rPr lang="en-US" sz="1100" b="1" baseline="0">
              <a:solidFill>
                <a:schemeClr val="dk1"/>
              </a:solidFill>
              <a:effectLst/>
              <a:latin typeface="Arial Narrow" panose="020B0606020202030204" pitchFamily="34" charset="0"/>
              <a:ea typeface="+mn-ea"/>
              <a:cs typeface="+mn-cs"/>
            </a:rPr>
            <a:t> - Best Case.</a:t>
          </a:r>
          <a:endParaRPr lang="en-US" sz="1100" b="1">
            <a:solidFill>
              <a:schemeClr val="dk1"/>
            </a:solidFill>
            <a:effectLst/>
            <a:latin typeface="Arial Narrow" panose="020B0606020202030204" pitchFamily="34" charset="0"/>
            <a:ea typeface="+mn-ea"/>
            <a:cs typeface="+mn-cs"/>
          </a:endParaRPr>
        </a:p>
        <a:p>
          <a:pPr marL="171450" lvl="0" indent="-171450">
            <a:buFont typeface="Arial" panose="020B0604020202020204" pitchFamily="34" charset="0"/>
            <a:buChar char="•"/>
          </a:pPr>
          <a:r>
            <a:rPr lang="en-US" sz="1100" b="1">
              <a:solidFill>
                <a:schemeClr val="dk1"/>
              </a:solidFill>
              <a:effectLst/>
              <a:latin typeface="Arial Narrow" panose="020B0606020202030204" pitchFamily="34" charset="0"/>
              <a:ea typeface="+mn-ea"/>
              <a:cs typeface="+mn-cs"/>
            </a:rPr>
            <a:t>The scenario with the highest profit - Best Case.</a:t>
          </a:r>
        </a:p>
        <a:p>
          <a:pPr marL="171450" lvl="0" indent="-171450">
            <a:buFont typeface="Arial" panose="020B0604020202020204" pitchFamily="34" charset="0"/>
            <a:buChar char="•"/>
          </a:pPr>
          <a:r>
            <a:rPr lang="en-US" sz="1100" b="1">
              <a:solidFill>
                <a:schemeClr val="dk1"/>
              </a:solidFill>
              <a:effectLst/>
              <a:latin typeface="Arial Narrow" panose="020B0606020202030204" pitchFamily="34" charset="0"/>
              <a:ea typeface="+mn-ea"/>
              <a:cs typeface="+mn-cs"/>
            </a:rPr>
            <a:t>The scenario with the highest expenses - Best Case.</a:t>
          </a:r>
        </a:p>
        <a:p>
          <a:pPr marL="171450" lvl="0" indent="-171450">
            <a:buFont typeface="Arial" panose="020B0604020202020204" pitchFamily="34" charset="0"/>
            <a:buChar char="•"/>
          </a:pPr>
          <a:r>
            <a:rPr lang="en-US" sz="1100" b="1">
              <a:solidFill>
                <a:schemeClr val="dk1"/>
              </a:solidFill>
              <a:effectLst/>
              <a:latin typeface="Arial Narrow" panose="020B0606020202030204" pitchFamily="34" charset="0"/>
              <a:ea typeface="+mn-ea"/>
              <a:cs typeface="+mn-cs"/>
            </a:rPr>
            <a:t>The scenario with the highest profit margin - Best Case.</a:t>
          </a:r>
        </a:p>
        <a:p>
          <a:pPr lvl="0"/>
          <a:endParaRPr lang="en-US" sz="1100" b="1">
            <a:solidFill>
              <a:schemeClr val="dk1"/>
            </a:solidFill>
            <a:effectLst/>
            <a:latin typeface="Arial Narrow" panose="020B0606020202030204" pitchFamily="34" charset="0"/>
            <a:ea typeface="+mn-ea"/>
            <a:cs typeface="+mn-cs"/>
          </a:endParaRPr>
        </a:p>
        <a:p>
          <a:pPr lvl="0"/>
          <a:r>
            <a:rPr lang="en-US" sz="1100" b="1">
              <a:solidFill>
                <a:schemeClr val="dk1"/>
              </a:solidFill>
              <a:effectLst/>
              <a:latin typeface="Arial Narrow" panose="020B0606020202030204" pitchFamily="34" charset="0"/>
              <a:ea typeface="+mn-ea"/>
              <a:cs typeface="+mn-cs"/>
            </a:rPr>
            <a:t>Q: Explain what happens to profit when sales decrease.</a:t>
          </a:r>
        </a:p>
        <a:p>
          <a:pPr lvl="0"/>
          <a:r>
            <a:rPr lang="en-US" sz="1100" b="1">
              <a:solidFill>
                <a:schemeClr val="dk1"/>
              </a:solidFill>
              <a:effectLst/>
              <a:latin typeface="Arial Narrow" panose="020B0606020202030204" pitchFamily="34" charset="0"/>
              <a:ea typeface="+mn-ea"/>
              <a:cs typeface="+mn-cs"/>
            </a:rPr>
            <a:t>Ans:</a:t>
          </a:r>
          <a:r>
            <a:rPr lang="en-US" sz="1100" b="1" baseline="0">
              <a:solidFill>
                <a:schemeClr val="dk1"/>
              </a:solidFill>
              <a:effectLst/>
              <a:latin typeface="Arial Narrow" panose="020B0606020202030204" pitchFamily="34" charset="0"/>
              <a:ea typeface="+mn-ea"/>
              <a:cs typeface="+mn-cs"/>
            </a:rPr>
            <a:t> - </a:t>
          </a:r>
          <a:r>
            <a:rPr lang="en-US" sz="1100" b="1">
              <a:solidFill>
                <a:schemeClr val="dk1"/>
              </a:solidFill>
              <a:effectLst/>
              <a:latin typeface="Arial Narrow" panose="020B0606020202030204" pitchFamily="34" charset="0"/>
              <a:ea typeface="+mn-ea"/>
              <a:cs typeface="+mn-cs"/>
            </a:rPr>
            <a:t>When sales decrease, profit also decreases — and falls even faster than sales, because fixed expenses don't reduce proportionately. This is seen in the Worst Case, where sales dropped to 500,000 and expenses stayed relatively high (570,000), resulting in a loss of -70,000</a:t>
          </a:r>
          <a:r>
            <a:rPr lang="en-US" sz="1100" b="1" baseline="0">
              <a:solidFill>
                <a:schemeClr val="dk1"/>
              </a:solidFill>
              <a:effectLst/>
              <a:latin typeface="Arial Narrow" panose="020B0606020202030204" pitchFamily="34" charset="0"/>
              <a:ea typeface="+mn-ea"/>
              <a:cs typeface="+mn-cs"/>
            </a:rPr>
            <a:t>.</a:t>
          </a:r>
          <a:endParaRPr lang="en-US" sz="1100" b="1">
            <a:solidFill>
              <a:schemeClr val="dk1"/>
            </a:solidFill>
            <a:effectLst/>
            <a:latin typeface="Arial Narrow" panose="020B0606020202030204" pitchFamily="34" charset="0"/>
            <a:ea typeface="+mn-ea"/>
            <a:cs typeface="+mn-cs"/>
          </a:endParaRPr>
        </a:p>
        <a:p>
          <a:pPr lvl="0"/>
          <a:endParaRPr lang="en-US" sz="1100" b="1">
            <a:solidFill>
              <a:schemeClr val="dk1"/>
            </a:solidFill>
            <a:effectLst/>
            <a:latin typeface="Arial Narrow" panose="020B0606020202030204" pitchFamily="34" charset="0"/>
            <a:ea typeface="+mn-ea"/>
            <a:cs typeface="+mn-cs"/>
          </a:endParaRPr>
        </a:p>
        <a:p>
          <a:pPr lvl="0"/>
          <a:r>
            <a:rPr lang="en-US" sz="1100" b="1">
              <a:solidFill>
                <a:schemeClr val="dk1"/>
              </a:solidFill>
              <a:effectLst/>
              <a:latin typeface="Arial Narrow" panose="020B0606020202030204" pitchFamily="34" charset="0"/>
              <a:ea typeface="+mn-ea"/>
              <a:cs typeface="+mn-cs"/>
            </a:rPr>
            <a:t>Q:</a:t>
          </a:r>
          <a:r>
            <a:rPr lang="en-US" sz="1100" b="1" baseline="0">
              <a:solidFill>
                <a:schemeClr val="dk1"/>
              </a:solidFill>
              <a:effectLst/>
              <a:latin typeface="Arial Narrow" panose="020B0606020202030204" pitchFamily="34" charset="0"/>
              <a:ea typeface="+mn-ea"/>
              <a:cs typeface="+mn-cs"/>
            </a:rPr>
            <a:t> </a:t>
          </a:r>
          <a:r>
            <a:rPr lang="en-US" sz="1100" b="1">
              <a:solidFill>
                <a:schemeClr val="dk1"/>
              </a:solidFill>
              <a:effectLst/>
              <a:latin typeface="Arial Narrow" panose="020B0606020202030204" pitchFamily="34" charset="0"/>
              <a:ea typeface="+mn-ea"/>
              <a:cs typeface="+mn-cs"/>
            </a:rPr>
            <a:t>Explain what happens when the variable cost percentage increases.</a:t>
          </a:r>
        </a:p>
        <a:p>
          <a:pPr lvl="0"/>
          <a:r>
            <a:rPr lang="en-US" sz="1100" b="1">
              <a:solidFill>
                <a:schemeClr val="dk1"/>
              </a:solidFill>
              <a:effectLst/>
              <a:latin typeface="Arial Narrow" panose="020B0606020202030204" pitchFamily="34" charset="0"/>
              <a:ea typeface="+mn-ea"/>
              <a:cs typeface="+mn-cs"/>
            </a:rPr>
            <a:t>Ans:- </a:t>
          </a:r>
          <a:r>
            <a:rPr lang="en-US" b="1">
              <a:latin typeface="Arial Narrow" panose="020B0606020202030204" pitchFamily="34" charset="0"/>
            </a:rPr>
            <a:t>When the variable cost percentage increases, Variable Cost rises even if sales stay flat, pushing up Total Expenses and reducing Profit. This is seen across the scenarios, where variable cost % rises from 40% (Best Case) to 60% (Worst Case), and Profit falls correspondingly from 260,000 to -70,000.</a:t>
          </a:r>
          <a:endParaRPr lang="en-US" sz="1100" b="1">
            <a:solidFill>
              <a:schemeClr val="dk1"/>
            </a:solidFill>
            <a:effectLst/>
            <a:latin typeface="Arial Narrow" panose="020B0606020202030204" pitchFamily="34" charset="0"/>
            <a:ea typeface="+mn-ea"/>
            <a:cs typeface="+mn-cs"/>
          </a:endParaRPr>
        </a:p>
        <a:p>
          <a:endParaRPr lang="en-US" sz="1100" b="1">
            <a:solidFill>
              <a:schemeClr val="dk1"/>
            </a:solidFill>
            <a:effectLst/>
            <a:latin typeface="Arial Narrow" panose="020B0606020202030204" pitchFamily="34" charset="0"/>
            <a:ea typeface="+mn-ea"/>
            <a:cs typeface="+mn-cs"/>
          </a:endParaRPr>
        </a:p>
        <a:p>
          <a:r>
            <a:rPr lang="en-US" sz="1100" b="1">
              <a:solidFill>
                <a:schemeClr val="dk1"/>
              </a:solidFill>
              <a:effectLst/>
              <a:latin typeface="Arial Narrow" panose="020B0606020202030204" pitchFamily="34" charset="0"/>
              <a:ea typeface="+mn-ea"/>
              <a:cs typeface="+mn-cs"/>
            </a:rPr>
            <a:t>Q: Recommend one scenario to management and explain why</a:t>
          </a:r>
        </a:p>
        <a:p>
          <a:r>
            <a:rPr lang="en-US" sz="1100" b="1">
              <a:latin typeface="Arial Narrow" panose="020B0606020202030204" pitchFamily="34" charset="0"/>
            </a:rPr>
            <a:t>Ans: - </a:t>
          </a:r>
          <a:r>
            <a:rPr lang="en-US" b="1">
              <a:latin typeface="Arial Narrow" panose="020B0606020202030204" pitchFamily="34" charset="0"/>
            </a:rPr>
            <a:t>The Best Case scenario is recommended to management. It has the highest Sales (900,000), lowest variable cost % (40%), highest Profit (260,000), and the strongest Profit Margin (28.89%), making it the most efficient and profitable outcome to target.</a:t>
          </a:r>
          <a:endParaRPr lang="en-US" sz="1100" b="1">
            <a:latin typeface="Arial Narrow" panose="020B060602020203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isa Mathew" refreshedDate="46251.419136574077" createdVersion="8" refreshedVersion="8" minRefreshableVersion="3" recordCount="3" xr:uid="{216228BB-8E4E-4E94-A50F-BF4C6700220C}">
  <cacheSource type="worksheet">
    <worksheetSource name="FoodDeliveryDataset"/>
  </cacheSource>
  <cacheFields count="9">
    <cacheField name="Scenario" numFmtId="0">
      <sharedItems count="3">
        <s v="Best Case"/>
        <s v="Normal Case"/>
        <s v="Worst Case"/>
      </sharedItems>
    </cacheField>
    <cacheField name="Sales" numFmtId="3">
      <sharedItems containsSemiMixedTypes="0" containsString="0" containsNumber="1" containsInteger="1" minValue="500000" maxValue="900000" count="3">
        <n v="900000"/>
        <n v="700000"/>
        <n v="500000"/>
      </sharedItems>
    </cacheField>
    <cacheField name="Fixed Expenses" numFmtId="3">
      <sharedItems containsSemiMixedTypes="0" containsString="0" containsNumber="1" containsInteger="1" minValue="200000" maxValue="220000"/>
    </cacheField>
    <cacheField name="Variable Cost %" numFmtId="9">
      <sharedItems containsSemiMixedTypes="0" containsString="0" containsNumber="1" minValue="0.4" maxValue="0.6"/>
    </cacheField>
    <cacheField name="Marketing Cost" numFmtId="3">
      <sharedItems containsSemiMixedTypes="0" containsString="0" containsNumber="1" containsInteger="1" minValue="50000" maxValue="80000"/>
    </cacheField>
    <cacheField name="Variable Cost" numFmtId="3">
      <sharedItems containsSemiMixedTypes="0" containsString="0" containsNumber="1" containsInteger="1" minValue="300000" maxValue="360000"/>
    </cacheField>
    <cacheField name="Total Expenses" numFmtId="3">
      <sharedItems containsSemiMixedTypes="0" containsString="0" containsNumber="1" containsInteger="1" minValue="570000" maxValue="640000"/>
    </cacheField>
    <cacheField name="Profit" numFmtId="3">
      <sharedItems containsSemiMixedTypes="0" containsString="0" containsNumber="1" containsInteger="1" minValue="-70000" maxValue="260000" count="3">
        <n v="260000"/>
        <n v="90000"/>
        <n v="-70000"/>
      </sharedItems>
    </cacheField>
    <cacheField name="Profit Margin %" numFmtId="4">
      <sharedItems containsSemiMixedTypes="0" containsString="0" containsNumber="1" minValue="-14.000000000000002" maxValue="28.88888888888888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isa Mathew" refreshedDate="46256.760491666668" createdVersion="8" refreshedVersion="8" minRefreshableVersion="3" recordCount="19" xr:uid="{74DA5D87-F350-41FF-A388-6B8E9702E634}">
  <cacheSource type="worksheet">
    <worksheetSource name="MonthlySales"/>
  </cacheSource>
  <cacheFields count="5">
    <cacheField name="Month" numFmtId="17">
      <sharedItems containsSemiMixedTypes="0" containsNonDate="0" containsDate="1" containsString="0" minDate="2026-01-01T00:00:00" maxDate="2027-07-02T00:00:00" count="19">
        <d v="2026-01-01T00:00:00"/>
        <d v="2026-02-01T00:00:00"/>
        <d v="2026-03-01T00:00:00"/>
        <d v="2026-04-01T00:00:00"/>
        <d v="2026-05-01T00:00:00"/>
        <d v="2026-06-01T00:00:00"/>
        <d v="2026-07-01T00:00:00"/>
        <d v="2026-08-01T00:00:00"/>
        <d v="2026-09-01T00:00:00"/>
        <d v="2026-10-01T00:00:00"/>
        <d v="2026-11-01T00:00:00"/>
        <d v="2026-12-01T00:00:00"/>
        <d v="2027-01-01T00:00:00"/>
        <d v="2027-02-01T00:00:00"/>
        <d v="2027-03-01T00:00:00"/>
        <d v="2027-04-01T00:00:00"/>
        <d v="2027-05-01T00:00:00"/>
        <d v="2027-06-01T00:00:00"/>
        <d v="2027-07-01T00:00:00"/>
      </sharedItems>
      <fieldGroup par="4"/>
    </cacheField>
    <cacheField name="Sales (₹)" numFmtId="3">
      <sharedItems containsString="0" containsBlank="1" containsNumber="1" containsInteger="1" minValue="45000" maxValue="84000"/>
    </cacheField>
    <cacheField name="Sales Forecast(₹)" numFmtId="0">
      <sharedItems containsString="0" containsBlank="1" containsNumber="1" minValue="86786.738053315319" maxValue="109843.82786993589"/>
    </cacheField>
    <cacheField name="Months (Month)" numFmtId="0" databaseField="0">
      <fieldGroup base="0">
        <rangePr groupBy="months" startDate="2026-01-01T00:00:00" endDate="2027-07-02T00:00:00"/>
        <groupItems count="14">
          <s v="&lt;01-01-26"/>
          <s v="Jan"/>
          <s v="Feb"/>
          <s v="Mar"/>
          <s v="Apr"/>
          <s v="May"/>
          <s v="Jun"/>
          <s v="Jul"/>
          <s v="Aug"/>
          <s v="Sep"/>
          <s v="Oct"/>
          <s v="Nov"/>
          <s v="Dec"/>
          <s v="&gt;02-07-27"/>
        </groupItems>
      </fieldGroup>
    </cacheField>
    <cacheField name="Years (Month)" numFmtId="0" databaseField="0">
      <fieldGroup base="0">
        <rangePr groupBy="years" startDate="2026-01-01T00:00:00" endDate="2027-07-02T00:00:00"/>
        <groupItems count="4">
          <s v="&lt;01-01-26"/>
          <s v="2026"/>
          <s v="2027"/>
          <s v="&gt;02-07-27"/>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x v="0"/>
    <n v="200000"/>
    <n v="0.4"/>
    <n v="80000"/>
    <n v="360000"/>
    <n v="640000"/>
    <x v="0"/>
    <n v="28.888888888888886"/>
  </r>
  <r>
    <x v="1"/>
    <x v="1"/>
    <n v="200000"/>
    <n v="0.5"/>
    <n v="60000"/>
    <n v="350000"/>
    <n v="610000"/>
    <x v="1"/>
    <n v="12.857142857142856"/>
  </r>
  <r>
    <x v="2"/>
    <x v="2"/>
    <n v="220000"/>
    <n v="0.6"/>
    <n v="50000"/>
    <n v="300000"/>
    <n v="570000"/>
    <x v="2"/>
    <n v="-14.00000000000000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x v="0"/>
    <n v="45000"/>
    <m/>
  </r>
  <r>
    <x v="1"/>
    <n v="48000"/>
    <m/>
  </r>
  <r>
    <x v="2"/>
    <n v="52000"/>
    <m/>
  </r>
  <r>
    <x v="3"/>
    <n v="55000"/>
    <m/>
  </r>
  <r>
    <x v="4"/>
    <n v="58000"/>
    <m/>
  </r>
  <r>
    <x v="5"/>
    <n v="62000"/>
    <m/>
  </r>
  <r>
    <x v="6"/>
    <n v="65000"/>
    <m/>
  </r>
  <r>
    <x v="7"/>
    <n v="69000"/>
    <m/>
  </r>
  <r>
    <x v="8"/>
    <n v="72000"/>
    <m/>
  </r>
  <r>
    <x v="9"/>
    <n v="76000"/>
    <m/>
  </r>
  <r>
    <x v="10"/>
    <n v="80000"/>
    <m/>
  </r>
  <r>
    <x v="11"/>
    <n v="84000"/>
    <m/>
  </r>
  <r>
    <x v="12"/>
    <m/>
    <n v="86786.738053315319"/>
  </r>
  <r>
    <x v="13"/>
    <m/>
    <n v="90493.340006090701"/>
  </r>
  <r>
    <x v="14"/>
    <m/>
    <n v="93746.489282117225"/>
  </r>
  <r>
    <x v="15"/>
    <m/>
    <n v="97751.676774883643"/>
  </r>
  <r>
    <x v="16"/>
    <m/>
    <n v="101638.30423115566"/>
  </r>
  <r>
    <x v="17"/>
    <m/>
    <n v="105470.08537677117"/>
  </r>
  <r>
    <x v="18"/>
    <m/>
    <n v="109843.827869935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11D9A0-298A-4D4E-856F-A6A0A7A6BC5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F3:H25" firstHeaderRow="0" firstDataRow="1" firstDataCol="1"/>
  <pivotFields count="5">
    <pivotField numFmtId="17" showAll="0">
      <items count="20">
        <item x="0"/>
        <item x="1"/>
        <item x="2"/>
        <item x="3"/>
        <item x="4"/>
        <item x="5"/>
        <item x="6"/>
        <item x="7"/>
        <item x="8"/>
        <item x="9"/>
        <item x="10"/>
        <item x="11"/>
        <item x="12"/>
        <item x="13"/>
        <item x="14"/>
        <item x="15"/>
        <item x="16"/>
        <item x="17"/>
        <item x="18"/>
        <item t="default"/>
      </items>
    </pivotField>
    <pivotField dataField="1" numFmtId="3" showAll="0"/>
    <pivotField dataField="1"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4"/>
    <field x="3"/>
  </rowFields>
  <rowItems count="22">
    <i>
      <x v="1"/>
    </i>
    <i r="1">
      <x v="1"/>
    </i>
    <i r="1">
      <x v="2"/>
    </i>
    <i r="1">
      <x v="3"/>
    </i>
    <i r="1">
      <x v="4"/>
    </i>
    <i r="1">
      <x v="5"/>
    </i>
    <i r="1">
      <x v="6"/>
    </i>
    <i r="1">
      <x v="7"/>
    </i>
    <i r="1">
      <x v="8"/>
    </i>
    <i r="1">
      <x v="9"/>
    </i>
    <i r="1">
      <x v="10"/>
    </i>
    <i r="1">
      <x v="11"/>
    </i>
    <i r="1">
      <x v="12"/>
    </i>
    <i>
      <x v="2"/>
    </i>
    <i r="1">
      <x v="1"/>
    </i>
    <i r="1">
      <x v="2"/>
    </i>
    <i r="1">
      <x v="3"/>
    </i>
    <i r="1">
      <x v="4"/>
    </i>
    <i r="1">
      <x v="5"/>
    </i>
    <i r="1">
      <x v="6"/>
    </i>
    <i r="1">
      <x v="7"/>
    </i>
    <i t="grand">
      <x/>
    </i>
  </rowItems>
  <colFields count="1">
    <field x="-2"/>
  </colFields>
  <colItems count="2">
    <i>
      <x/>
    </i>
    <i i="1">
      <x v="1"/>
    </i>
  </colItems>
  <dataFields count="2">
    <dataField name="Sum of Sales (₹)" fld="1" baseField="0" baseItem="0" numFmtId="3"/>
    <dataField name="Sum of Sales Forecast(₹)" fld="2" baseField="3" baseItem="8" numFmtId="1"/>
  </dataFields>
  <chartFormats count="2">
    <chartFormat chart="0" format="1"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0F7CB0-F012-40D0-9738-42D60641CCD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11:I15" firstHeaderRow="0" firstDataRow="1" firstDataCol="1"/>
  <pivotFields count="9">
    <pivotField axis="axisRow" showAll="0">
      <items count="4">
        <item x="0"/>
        <item x="1"/>
        <item x="2"/>
        <item t="default"/>
      </items>
    </pivotField>
    <pivotField dataField="1" numFmtId="3" showAll="0">
      <items count="4">
        <item x="2"/>
        <item x="1"/>
        <item x="0"/>
        <item t="default"/>
      </items>
    </pivotField>
    <pivotField numFmtId="3" showAll="0"/>
    <pivotField numFmtId="9" showAll="0"/>
    <pivotField numFmtId="3" showAll="0"/>
    <pivotField numFmtId="3" showAll="0"/>
    <pivotField dataField="1" numFmtId="3" showAll="0"/>
    <pivotField numFmtId="3" showAll="0"/>
    <pivotField numFmtId="4" showAll="0"/>
  </pivotFields>
  <rowFields count="1">
    <field x="0"/>
  </rowFields>
  <rowItems count="4">
    <i>
      <x/>
    </i>
    <i>
      <x v="1"/>
    </i>
    <i>
      <x v="2"/>
    </i>
    <i t="grand">
      <x/>
    </i>
  </rowItems>
  <colFields count="1">
    <field x="-2"/>
  </colFields>
  <colItems count="2">
    <i>
      <x/>
    </i>
    <i i="1">
      <x v="1"/>
    </i>
  </colItems>
  <dataFields count="2">
    <dataField name="Sum of Sales" fld="1" baseField="0" baseItem="0" numFmtId="3"/>
    <dataField name="Sum of Total Expenses" fld="6" baseField="0" baseItem="0" numFmtId="3"/>
  </dataField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B84B52-C795-4156-B9D4-5E16967F3F2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10:D14" firstHeaderRow="1" firstDataRow="1" firstDataCol="1"/>
  <pivotFields count="9">
    <pivotField axis="axisRow" showAll="0">
      <items count="4">
        <item x="0"/>
        <item x="1"/>
        <item x="2"/>
        <item t="default"/>
      </items>
    </pivotField>
    <pivotField numFmtId="3" showAll="0"/>
    <pivotField numFmtId="3" showAll="0"/>
    <pivotField numFmtId="9" showAll="0"/>
    <pivotField numFmtId="3" showAll="0"/>
    <pivotField numFmtId="3" showAll="0"/>
    <pivotField numFmtId="3" showAll="0"/>
    <pivotField dataField="1" numFmtId="3" showAll="0">
      <items count="4">
        <item x="2"/>
        <item x="1"/>
        <item x="0"/>
        <item t="default"/>
      </items>
    </pivotField>
    <pivotField numFmtId="4" showAll="0"/>
  </pivotFields>
  <rowFields count="1">
    <field x="0"/>
  </rowFields>
  <rowItems count="4">
    <i>
      <x/>
    </i>
    <i>
      <x v="1"/>
    </i>
    <i>
      <x v="2"/>
    </i>
    <i t="grand">
      <x/>
    </i>
  </rowItems>
  <colItems count="1">
    <i/>
  </colItems>
  <dataFields count="1">
    <dataField name="Sum of Profit" fld="7" baseField="0" baseItem="0" numFmtId="3"/>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2" format="7">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CA4FE58-BA29-4370-9FE9-243A14A9CD87}" name="Taskdataset" displayName="Taskdataset" ref="B2:K9" totalsRowShown="0" headerRowDxfId="48" dataDxfId="46" headerRowBorderDxfId="47" tableBorderDxfId="45" totalsRowBorderDxfId="44">
  <autoFilter ref="B2:K9" xr:uid="{3CA4FE58-BA29-4370-9FE9-243A14A9CD87}"/>
  <tableColumns count="10">
    <tableColumn id="1" xr3:uid="{60F1B9AC-7A2D-4434-8414-B28BB87F3950}" name="Task ID" dataDxfId="43"/>
    <tableColumn id="2" xr3:uid="{8CC868D6-6EC2-4619-AF24-1F723D41602F}" name="Task Name" dataDxfId="42"/>
    <tableColumn id="3" xr3:uid="{A48C52C6-E864-4F6F-A157-A7344CE820BA}" name="Start Date" dataDxfId="41"/>
    <tableColumn id="4" xr3:uid="{389384C9-D98E-4221-87CE-6CCBB7BBB900}" name="End Date" dataDxfId="40"/>
    <tableColumn id="5" xr3:uid="{D941AC5C-6CDD-4872-9C88-582EBEC19C80}" name="Duration" dataDxfId="39">
      <calculatedColumnFormula>Taskdataset[[#This Row],[End Date]]-Taskdataset[[#This Row],[Start Date]]+1</calculatedColumnFormula>
    </tableColumn>
    <tableColumn id="10" xr3:uid="{11E0A00E-F1BE-4139-BB2B-467054FBB22F}" name="Start Offset" dataDxfId="38">
      <calculatedColumnFormula>D3 - DATE(2026, 8, 26)</calculatedColumnFormula>
    </tableColumn>
    <tableColumn id="6" xr3:uid="{E0EF8EA2-C513-4DDA-AA2E-1C5676600ADB}" name="Progress" dataDxfId="37" dataCellStyle="Percent"/>
    <tableColumn id="7" xr3:uid="{5D68756C-1C94-4FF2-9E55-620954F8227E}" name="Completed" dataDxfId="36">
      <calculatedColumnFormula>Taskdataset[[#This Row],[Duration]]*Taskdataset[[#This Row],[Progress]]</calculatedColumnFormula>
    </tableColumn>
    <tableColumn id="9" xr3:uid="{9473B5D1-35DB-4F77-A6FE-E702FAAA5C05}" name="InProgress" dataDxfId="35">
      <calculatedColumnFormula>IF(AND(H3&gt;0, H3&lt;1), F3 - (F3 * H3), 0)</calculatedColumnFormula>
    </tableColumn>
    <tableColumn id="11" xr3:uid="{9B8D68CB-89A7-4CC4-BAE1-5AFA634EED51}" name="Pending" dataDxfId="34">
      <calculatedColumnFormula>IF(H3=0, F3, 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F5C2442-9C34-4056-98B3-8137346109BD}" name="MonthlySales" displayName="MonthlySales" ref="B3:D22" totalsRowShown="0" headerRowDxfId="33" dataDxfId="31" headerRowBorderDxfId="32" tableBorderDxfId="30" totalsRowBorderDxfId="29">
  <autoFilter ref="B3:D22" xr:uid="{AF5C2442-9C34-4056-98B3-8137346109BD}"/>
  <tableColumns count="3">
    <tableColumn id="1" xr3:uid="{2EB534A9-1B45-4071-BFFC-4D68E130BDC6}" name="Month" dataDxfId="28"/>
    <tableColumn id="2" xr3:uid="{9E9342FB-0771-4B7B-B868-5D6E23A5DBA3}" name="Sales (₹)" dataDxfId="27"/>
    <tableColumn id="3" xr3:uid="{49AA9E7C-E3F7-44BE-9486-9E37C5AF6297}" name="Sales Forecast(₹)" dataDxfId="2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8C5ADA-34E5-4A6B-B074-112844B31B61}" name="Table1" displayName="Table1" ref="A1:C20" totalsRowShown="0">
  <autoFilter ref="A1:C20" xr:uid="{528C5ADA-34E5-4A6B-B074-112844B31B61}"/>
  <tableColumns count="3">
    <tableColumn id="1" xr3:uid="{7B147828-CC70-4433-8851-77BEE216D5AC}" name="Month" dataDxfId="25"/>
    <tableColumn id="2" xr3:uid="{48482971-79C0-4D52-A5C7-DC4655D2C3E2}" name="Sales (₹)"/>
    <tableColumn id="3" xr3:uid="{96F69B83-A8F3-458C-8EE2-F43F622F7744}" name="Forecast(Sales (₹))" dataDxfId="24">
      <calculatedColumnFormula>_xlfn.FORECAST.ETS(A2,$B$2:$B$13,$A$2:$A$13,1,1)</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642541B-8297-4917-BCC6-7A8E4F5EB0B1}" name="Input12" displayName="Input12" ref="B2:C5" totalsRowShown="0" headerRowDxfId="23" dataDxfId="21" headerRowBorderDxfId="22" tableBorderDxfId="20" totalsRowBorderDxfId="19">
  <autoFilter ref="B2:C5" xr:uid="{2642541B-8297-4917-BCC6-7A8E4F5EB0B1}"/>
  <tableColumns count="2">
    <tableColumn id="1" xr3:uid="{DEE44E75-5A93-4F88-9464-0D309BCCC496}" name="Particular" dataDxfId="18"/>
    <tableColumn id="2" xr3:uid="{B9670577-84FF-4D62-82C8-6F9F894F8903}" name="Value" dataDxfId="1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2FFB016-65C3-4755-908B-712C703DEE1B}" name="ScenarioManager13" displayName="ScenarioManager13" ref="E2:H5" totalsRowShown="0" headerRowDxfId="16" headerRowBorderDxfId="15" tableBorderDxfId="14">
  <autoFilter ref="E2:H5" xr:uid="{42FFB016-65C3-4755-908B-712C703DEE1B}"/>
  <tableColumns count="4">
    <tableColumn id="1" xr3:uid="{9232839A-97B8-413C-A3C0-2AECCBE42213}" name="Scenario"/>
    <tableColumn id="2" xr3:uid="{7687568C-B9E1-4B17-80A7-DDEE59F46FCB}" name="Sales"/>
    <tableColumn id="3" xr3:uid="{58AE359E-678A-4612-9123-17057ED2ECB2}" name="Expenses"/>
    <tableColumn id="4" xr3:uid="{52916AAB-6D36-4BA7-8890-364D60FBE355}" name="Profit">
      <calculatedColumnFormula>ScenarioManager13[[#This Row],[Sales]]-ScenarioManager13[[#This Row],[Expenses]]</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454E1C-C167-4113-952A-063067599426}" name="FoodDeliveryDataset3" displayName="FoodDeliveryDataset3" ref="B2:J5" totalsRowShown="0" headerRowDxfId="13" dataDxfId="11" headerRowBorderDxfId="12" tableBorderDxfId="10" totalsRowBorderDxfId="9">
  <autoFilter ref="B2:J5" xr:uid="{B1802B47-9CEB-4DE3-AB11-7F4C207D0AFA}"/>
  <tableColumns count="9">
    <tableColumn id="1" xr3:uid="{A7F1004B-93CE-42ED-8EF2-4EEDF31AA071}" name="Scenario" dataDxfId="8"/>
    <tableColumn id="2" xr3:uid="{A1F680BF-97E5-4E4A-87B1-190D18AD87D6}" name="Sales" dataDxfId="7"/>
    <tableColumn id="3" xr3:uid="{5281B69F-B659-4566-A029-ADEACC9C4861}" name="Fixed Expenses" dataDxfId="6"/>
    <tableColumn id="4" xr3:uid="{FBCA82EB-A7A1-45D5-8E37-C01E58701164}" name="Variable Cost %" dataDxfId="5" dataCellStyle="Percent"/>
    <tableColumn id="5" xr3:uid="{4FC4A25D-4F5D-45F6-882B-7E31493DD6DE}" name="Marketing Cost" dataDxfId="4"/>
    <tableColumn id="6" xr3:uid="{B73300B5-DE20-4248-AC16-49D18845DAF9}" name="Variable Cost" dataDxfId="3">
      <calculatedColumnFormula>FoodDeliveryDataset3[[#This Row],[Sales]]*FoodDeliveryDataset3[[#This Row],[Variable Cost %]]</calculatedColumnFormula>
    </tableColumn>
    <tableColumn id="7" xr3:uid="{3FE2284A-048A-4651-8708-8DECF61C238B}" name="Total Expenses" dataDxfId="2">
      <calculatedColumnFormula>FoodDeliveryDataset3[[#This Row],[Fixed Expenses]]+FoodDeliveryDataset3[[#This Row],[Variable Cost]]+FoodDeliveryDataset3[[#This Row],[Marketing Cost]]</calculatedColumnFormula>
    </tableColumn>
    <tableColumn id="8" xr3:uid="{B0FCF0E9-4C83-4053-94DE-8BAB069C0B9B}" name="Profit" dataDxfId="1">
      <calculatedColumnFormula>FoodDeliveryDataset3[[#This Row],[Sales]]-FoodDeliveryDataset3[[#This Row],[Total Expenses]]</calculatedColumnFormula>
    </tableColumn>
    <tableColumn id="9" xr3:uid="{6E3B4749-80DD-45BA-B289-4B21E7281F28}" name="Profit Margin %" dataDxfId="0">
      <calculatedColumnFormula>FoodDeliveryDataset3[[#This Row],[Profit]]/FoodDeliveryDataset3[[#This Row],[Sales]]*100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BABA9-BB26-4C2D-B9EE-2178F993773F}">
  <sheetPr codeName="Sheet1"/>
  <dimension ref="B1:P20"/>
  <sheetViews>
    <sheetView showGridLines="0" zoomScale="96" zoomScaleNormal="96" workbookViewId="0">
      <selection activeCell="H8" sqref="H8"/>
    </sheetView>
  </sheetViews>
  <sheetFormatPr defaultRowHeight="14.4" x14ac:dyDescent="0.3"/>
  <cols>
    <col min="1" max="1" width="3.109375" customWidth="1"/>
    <col min="2" max="2" width="10.5546875" customWidth="1"/>
    <col min="3" max="3" width="20.109375" customWidth="1"/>
    <col min="4" max="4" width="13.5546875" customWidth="1"/>
    <col min="5" max="5" width="10.21875" customWidth="1"/>
    <col min="6" max="6" width="10" customWidth="1"/>
    <col min="7" max="7" width="13.5546875" customWidth="1"/>
    <col min="8" max="8" width="11.109375" customWidth="1"/>
    <col min="9" max="9" width="12.44140625" customWidth="1"/>
    <col min="10" max="10" width="12" customWidth="1"/>
    <col min="11" max="11" width="9.88671875" customWidth="1"/>
    <col min="16" max="16" width="10.109375" customWidth="1"/>
  </cols>
  <sheetData>
    <row r="1" spans="2:16" ht="25.2" customHeight="1" thickBot="1" x14ac:dyDescent="0.35">
      <c r="B1" s="74" t="s">
        <v>40</v>
      </c>
      <c r="C1" s="74"/>
      <c r="D1" s="74"/>
      <c r="E1" s="74"/>
      <c r="F1" s="44"/>
      <c r="G1" s="44"/>
      <c r="H1" s="4"/>
      <c r="I1" s="4"/>
    </row>
    <row r="2" spans="2:16" ht="15" thickBot="1" x14ac:dyDescent="0.35">
      <c r="B2" s="14" t="s">
        <v>17</v>
      </c>
      <c r="C2" s="14" t="s">
        <v>18</v>
      </c>
      <c r="D2" s="14" t="s">
        <v>19</v>
      </c>
      <c r="E2" s="14" t="s">
        <v>20</v>
      </c>
      <c r="F2" s="14" t="s">
        <v>35</v>
      </c>
      <c r="G2" s="51" t="s">
        <v>68</v>
      </c>
      <c r="H2" s="14" t="s">
        <v>57</v>
      </c>
      <c r="I2" s="14" t="s">
        <v>71</v>
      </c>
      <c r="J2" s="14" t="s">
        <v>69</v>
      </c>
      <c r="K2" s="45" t="s">
        <v>70</v>
      </c>
    </row>
    <row r="3" spans="2:16" x14ac:dyDescent="0.3">
      <c r="B3" s="13" t="s">
        <v>21</v>
      </c>
      <c r="C3" s="45" t="s">
        <v>22</v>
      </c>
      <c r="D3" s="46">
        <v>46266</v>
      </c>
      <c r="E3" s="46">
        <v>46270</v>
      </c>
      <c r="F3" s="15">
        <f>Taskdataset[[#This Row],[End Date]]-Taskdataset[[#This Row],[Start Date]]+1</f>
        <v>5</v>
      </c>
      <c r="G3" s="52">
        <f>D3 - DATE(2026, 8, 26)</f>
        <v>6</v>
      </c>
      <c r="H3" s="16">
        <v>1</v>
      </c>
      <c r="I3" s="15">
        <f>Taskdataset[[#This Row],[Duration]]*Taskdataset[[#This Row],[Progress]]</f>
        <v>5</v>
      </c>
      <c r="J3" s="15">
        <f t="shared" ref="J3:J9" si="0">IF(AND(H3&gt;0, H3&lt;1), F3 - (F3 * H3), 0)</f>
        <v>0</v>
      </c>
      <c r="K3" s="15">
        <f t="shared" ref="K3:K9" si="1">IF(H3=0, F3, 0)</f>
        <v>0</v>
      </c>
    </row>
    <row r="4" spans="2:16" x14ac:dyDescent="0.3">
      <c r="B4" s="18" t="s">
        <v>23</v>
      </c>
      <c r="C4" s="47" t="s">
        <v>24</v>
      </c>
      <c r="D4" s="48">
        <v>46271</v>
      </c>
      <c r="E4" s="48">
        <v>46275</v>
      </c>
      <c r="F4" s="12">
        <f>Taskdataset[[#This Row],[End Date]]-Taskdataset[[#This Row],[Start Date]]+1</f>
        <v>5</v>
      </c>
      <c r="G4" s="53">
        <f t="shared" ref="G4:G9" si="2">D4 - DATE(2026, 8, 26)</f>
        <v>11</v>
      </c>
      <c r="H4" s="19">
        <v>1</v>
      </c>
      <c r="I4" s="12">
        <f>Taskdataset[[#This Row],[Duration]]*Taskdataset[[#This Row],[Progress]]</f>
        <v>5</v>
      </c>
      <c r="J4" s="12">
        <f t="shared" si="0"/>
        <v>0</v>
      </c>
      <c r="K4" s="12">
        <f t="shared" si="1"/>
        <v>0</v>
      </c>
    </row>
    <row r="5" spans="2:16" x14ac:dyDescent="0.3">
      <c r="B5" s="18" t="s">
        <v>25</v>
      </c>
      <c r="C5" s="47" t="s">
        <v>26</v>
      </c>
      <c r="D5" s="48">
        <v>46276</v>
      </c>
      <c r="E5" s="48">
        <v>46283</v>
      </c>
      <c r="F5" s="12">
        <f>Taskdataset[[#This Row],[End Date]]-Taskdataset[[#This Row],[Start Date]]+1</f>
        <v>8</v>
      </c>
      <c r="G5" s="53">
        <f t="shared" si="2"/>
        <v>16</v>
      </c>
      <c r="H5" s="19">
        <v>1</v>
      </c>
      <c r="I5" s="12">
        <f>Taskdataset[[#This Row],[Duration]]*Taskdataset[[#This Row],[Progress]]</f>
        <v>8</v>
      </c>
      <c r="J5" s="12">
        <f t="shared" si="0"/>
        <v>0</v>
      </c>
      <c r="K5" s="12">
        <f t="shared" si="1"/>
        <v>0</v>
      </c>
    </row>
    <row r="6" spans="2:16" x14ac:dyDescent="0.3">
      <c r="B6" s="18" t="s">
        <v>27</v>
      </c>
      <c r="C6" s="47" t="s">
        <v>28</v>
      </c>
      <c r="D6" s="48">
        <v>46284</v>
      </c>
      <c r="E6" s="48">
        <v>46295</v>
      </c>
      <c r="F6" s="12">
        <f>Taskdataset[[#This Row],[End Date]]-Taskdataset[[#This Row],[Start Date]]+1</f>
        <v>12</v>
      </c>
      <c r="G6" s="53">
        <f t="shared" si="2"/>
        <v>24</v>
      </c>
      <c r="H6" s="19">
        <v>0.5</v>
      </c>
      <c r="I6" s="12">
        <f>Taskdataset[[#This Row],[Duration]]*Taskdataset[[#This Row],[Progress]]</f>
        <v>6</v>
      </c>
      <c r="J6" s="12">
        <f t="shared" si="0"/>
        <v>6</v>
      </c>
      <c r="K6" s="12">
        <f t="shared" si="1"/>
        <v>0</v>
      </c>
    </row>
    <row r="7" spans="2:16" x14ac:dyDescent="0.3">
      <c r="B7" s="18" t="s">
        <v>29</v>
      </c>
      <c r="C7" s="47" t="s">
        <v>30</v>
      </c>
      <c r="D7" s="48">
        <v>46290</v>
      </c>
      <c r="E7" s="48">
        <v>46303</v>
      </c>
      <c r="F7" s="12">
        <f>Taskdataset[[#This Row],[End Date]]-Taskdataset[[#This Row],[Start Date]]+1</f>
        <v>14</v>
      </c>
      <c r="G7" s="53">
        <f t="shared" si="2"/>
        <v>30</v>
      </c>
      <c r="H7" s="19">
        <v>0</v>
      </c>
      <c r="I7" s="12">
        <f>Taskdataset[[#This Row],[Duration]]*Taskdataset[[#This Row],[Progress]]</f>
        <v>0</v>
      </c>
      <c r="J7" s="12">
        <f t="shared" si="0"/>
        <v>0</v>
      </c>
      <c r="K7" s="12">
        <f t="shared" si="1"/>
        <v>14</v>
      </c>
    </row>
    <row r="8" spans="2:16" x14ac:dyDescent="0.3">
      <c r="B8" s="18" t="s">
        <v>31</v>
      </c>
      <c r="C8" s="47" t="s">
        <v>32</v>
      </c>
      <c r="D8" s="48">
        <v>46304</v>
      </c>
      <c r="E8" s="48">
        <v>46310</v>
      </c>
      <c r="F8" s="12">
        <f>Taskdataset[[#This Row],[End Date]]-Taskdataset[[#This Row],[Start Date]]+1</f>
        <v>7</v>
      </c>
      <c r="G8" s="53">
        <f t="shared" si="2"/>
        <v>44</v>
      </c>
      <c r="H8" s="19">
        <v>0</v>
      </c>
      <c r="I8" s="12">
        <f>Taskdataset[[#This Row],[Duration]]*Taskdataset[[#This Row],[Progress]]</f>
        <v>0</v>
      </c>
      <c r="J8" s="12">
        <f t="shared" si="0"/>
        <v>0</v>
      </c>
      <c r="K8" s="12">
        <f t="shared" si="1"/>
        <v>7</v>
      </c>
    </row>
    <row r="9" spans="2:16" x14ac:dyDescent="0.3">
      <c r="B9" s="21" t="s">
        <v>33</v>
      </c>
      <c r="C9" s="49" t="s">
        <v>34</v>
      </c>
      <c r="D9" s="50">
        <v>46311</v>
      </c>
      <c r="E9" s="50">
        <v>46313</v>
      </c>
      <c r="F9" s="22">
        <f>Taskdataset[[#This Row],[End Date]]-Taskdataset[[#This Row],[Start Date]]+1</f>
        <v>3</v>
      </c>
      <c r="G9" s="54">
        <f t="shared" si="2"/>
        <v>51</v>
      </c>
      <c r="H9" s="23">
        <v>0</v>
      </c>
      <c r="I9" s="22">
        <f>Taskdataset[[#This Row],[Duration]]*Taskdataset[[#This Row],[Progress]]</f>
        <v>0</v>
      </c>
      <c r="J9" s="22">
        <f t="shared" si="0"/>
        <v>0</v>
      </c>
      <c r="K9" s="22">
        <f t="shared" si="1"/>
        <v>3</v>
      </c>
    </row>
    <row r="10" spans="2:16" x14ac:dyDescent="0.3">
      <c r="P10" s="55"/>
    </row>
    <row r="11" spans="2:16" x14ac:dyDescent="0.3">
      <c r="P11" s="55"/>
    </row>
    <row r="17" spans="13:13" x14ac:dyDescent="0.3">
      <c r="M17" s="3"/>
    </row>
    <row r="18" spans="13:13" x14ac:dyDescent="0.3">
      <c r="M18" s="3"/>
    </row>
    <row r="19" spans="13:13" x14ac:dyDescent="0.3">
      <c r="M19" s="3"/>
    </row>
    <row r="20" spans="13:13" x14ac:dyDescent="0.3">
      <c r="M20" s="3"/>
    </row>
  </sheetData>
  <mergeCells count="1">
    <mergeCell ref="B1:E1"/>
  </mergeCell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60A96-C30A-4528-84A6-3861EA9454C9}">
  <sheetPr codeName="Sheet2"/>
  <dimension ref="B1:M25"/>
  <sheetViews>
    <sheetView showGridLines="0" zoomScale="82" workbookViewId="0">
      <selection activeCell="T28" sqref="T28"/>
    </sheetView>
  </sheetViews>
  <sheetFormatPr defaultRowHeight="14.4" x14ac:dyDescent="0.3"/>
  <cols>
    <col min="1" max="1" width="2.5546875" customWidth="1"/>
    <col min="2" max="2" width="12.5546875" customWidth="1"/>
    <col min="3" max="3" width="12.6640625" customWidth="1"/>
    <col min="4" max="4" width="14.88671875" customWidth="1"/>
    <col min="5" max="5" width="10.21875" customWidth="1"/>
    <col min="6" max="6" width="13" bestFit="1" customWidth="1"/>
    <col min="7" max="7" width="14.5546875" bestFit="1" customWidth="1"/>
    <col min="8" max="8" width="21.77734375" bestFit="1" customWidth="1"/>
    <col min="9" max="9" width="9.88671875" customWidth="1"/>
    <col min="10" max="10" width="15.33203125" customWidth="1"/>
  </cols>
  <sheetData>
    <row r="1" spans="2:13" ht="30" x14ac:dyDescent="0.3">
      <c r="B1" s="75" t="s">
        <v>73</v>
      </c>
      <c r="C1" s="75"/>
      <c r="D1" s="75"/>
      <c r="E1" s="75"/>
      <c r="F1" s="75"/>
      <c r="G1" s="75"/>
      <c r="H1" s="75"/>
      <c r="I1" s="75"/>
    </row>
    <row r="2" spans="2:13" ht="15" thickBot="1" x14ac:dyDescent="0.35">
      <c r="D2" s="5"/>
      <c r="E2" s="6"/>
    </row>
    <row r="3" spans="2:13" ht="18.600000000000001" thickBot="1" x14ac:dyDescent="0.35">
      <c r="B3" s="63" t="s">
        <v>36</v>
      </c>
      <c r="C3" s="64" t="s">
        <v>37</v>
      </c>
      <c r="D3" s="65" t="s">
        <v>77</v>
      </c>
      <c r="E3" s="6"/>
      <c r="F3" s="11" t="s">
        <v>12</v>
      </c>
      <c r="G3" t="s">
        <v>56</v>
      </c>
      <c r="H3" t="s">
        <v>78</v>
      </c>
    </row>
    <row r="4" spans="2:13" ht="18" x14ac:dyDescent="0.3">
      <c r="B4" s="66">
        <v>46023</v>
      </c>
      <c r="C4" s="67">
        <v>45000</v>
      </c>
      <c r="D4" s="68"/>
      <c r="F4" s="2" t="s">
        <v>75</v>
      </c>
      <c r="G4" s="1">
        <v>766000</v>
      </c>
      <c r="H4" s="62"/>
    </row>
    <row r="5" spans="2:13" ht="18" x14ac:dyDescent="0.3">
      <c r="B5" s="69">
        <v>46054</v>
      </c>
      <c r="C5" s="70">
        <v>48000</v>
      </c>
      <c r="D5" s="68"/>
      <c r="F5" s="61" t="s">
        <v>46</v>
      </c>
      <c r="G5" s="1">
        <v>45000</v>
      </c>
      <c r="H5" s="62"/>
    </row>
    <row r="6" spans="2:13" ht="18" x14ac:dyDescent="0.3">
      <c r="B6" s="69">
        <v>46082</v>
      </c>
      <c r="C6" s="70">
        <v>52000</v>
      </c>
      <c r="D6" s="68"/>
      <c r="F6" s="61" t="s">
        <v>47</v>
      </c>
      <c r="G6" s="1">
        <v>48000</v>
      </c>
      <c r="H6" s="62"/>
    </row>
    <row r="7" spans="2:13" ht="18" x14ac:dyDescent="0.3">
      <c r="B7" s="69">
        <v>46113</v>
      </c>
      <c r="C7" s="70">
        <v>55000</v>
      </c>
      <c r="D7" s="68"/>
      <c r="F7" s="61" t="s">
        <v>48</v>
      </c>
      <c r="G7" s="1">
        <v>52000</v>
      </c>
      <c r="H7" s="62"/>
    </row>
    <row r="8" spans="2:13" ht="18" x14ac:dyDescent="0.3">
      <c r="B8" s="69">
        <v>46143</v>
      </c>
      <c r="C8" s="70">
        <v>58000</v>
      </c>
      <c r="D8" s="68"/>
      <c r="F8" s="61" t="s">
        <v>49</v>
      </c>
      <c r="G8" s="1">
        <v>55000</v>
      </c>
      <c r="H8" s="62"/>
    </row>
    <row r="9" spans="2:13" ht="18" x14ac:dyDescent="0.3">
      <c r="B9" s="69">
        <v>46174</v>
      </c>
      <c r="C9" s="70">
        <v>62000</v>
      </c>
      <c r="D9" s="68"/>
      <c r="F9" s="61" t="s">
        <v>50</v>
      </c>
      <c r="G9" s="1">
        <v>58000</v>
      </c>
      <c r="H9" s="62"/>
    </row>
    <row r="10" spans="2:13" ht="18" x14ac:dyDescent="0.3">
      <c r="B10" s="69">
        <v>46204</v>
      </c>
      <c r="C10" s="70">
        <v>65000</v>
      </c>
      <c r="D10" s="68"/>
      <c r="F10" s="61" t="s">
        <v>51</v>
      </c>
      <c r="G10" s="1">
        <v>62000</v>
      </c>
      <c r="H10" s="62"/>
    </row>
    <row r="11" spans="2:13" ht="18" x14ac:dyDescent="0.3">
      <c r="B11" s="69">
        <v>46235</v>
      </c>
      <c r="C11" s="70">
        <v>69000</v>
      </c>
      <c r="D11" s="68"/>
      <c r="F11" s="61" t="s">
        <v>52</v>
      </c>
      <c r="G11" s="1">
        <v>65000</v>
      </c>
      <c r="H11" s="62"/>
    </row>
    <row r="12" spans="2:13" ht="18" x14ac:dyDescent="0.3">
      <c r="B12" s="69">
        <v>46266</v>
      </c>
      <c r="C12" s="70">
        <v>72000</v>
      </c>
      <c r="D12" s="68"/>
      <c r="F12" s="61" t="s">
        <v>53</v>
      </c>
      <c r="G12" s="1">
        <v>69000</v>
      </c>
      <c r="H12" s="62"/>
    </row>
    <row r="13" spans="2:13" ht="18" x14ac:dyDescent="0.3">
      <c r="B13" s="69">
        <v>46296</v>
      </c>
      <c r="C13" s="70">
        <v>76000</v>
      </c>
      <c r="D13" s="68"/>
      <c r="F13" s="61" t="s">
        <v>44</v>
      </c>
      <c r="G13" s="1">
        <v>72000</v>
      </c>
      <c r="H13" s="62"/>
    </row>
    <row r="14" spans="2:13" ht="18" x14ac:dyDescent="0.3">
      <c r="B14" s="69">
        <v>46327</v>
      </c>
      <c r="C14" s="70">
        <v>80000</v>
      </c>
      <c r="D14" s="68"/>
      <c r="F14" s="61" t="s">
        <v>45</v>
      </c>
      <c r="G14" s="1">
        <v>76000</v>
      </c>
      <c r="H14" s="62"/>
    </row>
    <row r="15" spans="2:13" ht="18" x14ac:dyDescent="0.3">
      <c r="B15" s="71">
        <v>46357</v>
      </c>
      <c r="C15" s="72">
        <v>84000</v>
      </c>
      <c r="D15" s="68"/>
      <c r="F15" s="61" t="s">
        <v>54</v>
      </c>
      <c r="G15" s="1">
        <v>80000</v>
      </c>
      <c r="H15" s="62"/>
      <c r="M15" s="3"/>
    </row>
    <row r="16" spans="2:13" ht="18" x14ac:dyDescent="0.35">
      <c r="B16" s="69">
        <v>46388</v>
      </c>
      <c r="C16" s="70"/>
      <c r="D16" s="73">
        <f>_xlfn.FORECAST.LINEAR(B16, C4:C15, B4:B15)</f>
        <v>86786.738053315319</v>
      </c>
      <c r="F16" s="61" t="s">
        <v>55</v>
      </c>
      <c r="G16" s="1">
        <v>84000</v>
      </c>
      <c r="H16" s="62"/>
      <c r="M16" s="3"/>
    </row>
    <row r="17" spans="2:13" ht="18" x14ac:dyDescent="0.35">
      <c r="B17" s="69">
        <v>46419</v>
      </c>
      <c r="C17" s="70"/>
      <c r="D17" s="73">
        <f t="shared" ref="D17:D22" si="0">_xlfn.FORECAST.LINEAR(B17, C5:C16, B5:B16)</f>
        <v>90493.340006090701</v>
      </c>
      <c r="F17" s="2" t="s">
        <v>76</v>
      </c>
      <c r="G17" s="1"/>
      <c r="H17" s="62">
        <v>685730.46159426961</v>
      </c>
      <c r="M17" s="3"/>
    </row>
    <row r="18" spans="2:13" ht="18" x14ac:dyDescent="0.35">
      <c r="B18" s="69">
        <v>46447</v>
      </c>
      <c r="C18" s="70"/>
      <c r="D18" s="73">
        <f t="shared" si="0"/>
        <v>93746.489282117225</v>
      </c>
      <c r="F18" s="61" t="s">
        <v>46</v>
      </c>
      <c r="G18" s="1"/>
      <c r="H18" s="62">
        <v>86786.738053315319</v>
      </c>
      <c r="M18" s="3"/>
    </row>
    <row r="19" spans="2:13" ht="18" x14ac:dyDescent="0.35">
      <c r="B19" s="69">
        <v>46478</v>
      </c>
      <c r="C19" s="70"/>
      <c r="D19" s="73">
        <f t="shared" si="0"/>
        <v>97751.676774883643</v>
      </c>
      <c r="F19" s="61" t="s">
        <v>47</v>
      </c>
      <c r="G19" s="1"/>
      <c r="H19" s="62">
        <v>90493.340006090701</v>
      </c>
    </row>
    <row r="20" spans="2:13" ht="18" x14ac:dyDescent="0.35">
      <c r="B20" s="69">
        <v>46508</v>
      </c>
      <c r="C20" s="70"/>
      <c r="D20" s="73">
        <f t="shared" si="0"/>
        <v>101638.30423115566</v>
      </c>
      <c r="F20" s="61" t="s">
        <v>48</v>
      </c>
      <c r="G20" s="1"/>
      <c r="H20" s="62">
        <v>93746.489282117225</v>
      </c>
    </row>
    <row r="21" spans="2:13" ht="18" x14ac:dyDescent="0.35">
      <c r="B21" s="69">
        <v>46539</v>
      </c>
      <c r="C21" s="70"/>
      <c r="D21" s="73">
        <f t="shared" si="0"/>
        <v>105470.08537677117</v>
      </c>
      <c r="F21" s="61" t="s">
        <v>49</v>
      </c>
      <c r="G21" s="1"/>
      <c r="H21" s="62">
        <v>97751.676774883643</v>
      </c>
    </row>
    <row r="22" spans="2:13" ht="18" x14ac:dyDescent="0.35">
      <c r="B22" s="69">
        <v>46569</v>
      </c>
      <c r="C22" s="72"/>
      <c r="D22" s="73">
        <f t="shared" si="0"/>
        <v>109843.82786993589</v>
      </c>
      <c r="F22" s="61" t="s">
        <v>50</v>
      </c>
      <c r="G22" s="1"/>
      <c r="H22" s="62">
        <v>101638.30423115566</v>
      </c>
    </row>
    <row r="23" spans="2:13" x14ac:dyDescent="0.3">
      <c r="F23" s="61" t="s">
        <v>51</v>
      </c>
      <c r="G23" s="1"/>
      <c r="H23" s="62">
        <v>105470.08537677117</v>
      </c>
    </row>
    <row r="24" spans="2:13" x14ac:dyDescent="0.3">
      <c r="F24" s="61" t="s">
        <v>52</v>
      </c>
      <c r="G24" s="1"/>
      <c r="H24" s="62">
        <v>109843.82786993589</v>
      </c>
    </row>
    <row r="25" spans="2:13" x14ac:dyDescent="0.3">
      <c r="F25" s="2" t="s">
        <v>13</v>
      </c>
      <c r="G25" s="1">
        <v>766000</v>
      </c>
      <c r="H25" s="62">
        <v>685730.46159426961</v>
      </c>
    </row>
  </sheetData>
  <mergeCells count="1">
    <mergeCell ref="B1:I1"/>
  </mergeCells>
  <pageMargins left="0.7" right="0.7" top="0.75" bottom="0.75" header="0.3" footer="0.3"/>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27DC1-F5C6-4476-B6B7-69E4BAE4B6C3}">
  <dimension ref="A1:C20"/>
  <sheetViews>
    <sheetView showGridLines="0" zoomScaleNormal="100" workbookViewId="0">
      <selection activeCell="V16" sqref="V16"/>
    </sheetView>
  </sheetViews>
  <sheetFormatPr defaultRowHeight="14.4" x14ac:dyDescent="0.3"/>
  <cols>
    <col min="2" max="2" width="9.88671875" customWidth="1"/>
    <col min="3" max="3" width="18.21875" customWidth="1"/>
  </cols>
  <sheetData>
    <row r="1" spans="1:3" x14ac:dyDescent="0.3">
      <c r="A1" t="s">
        <v>36</v>
      </c>
      <c r="B1" t="s">
        <v>37</v>
      </c>
      <c r="C1" t="s">
        <v>74</v>
      </c>
    </row>
    <row r="2" spans="1:3" x14ac:dyDescent="0.3">
      <c r="A2" s="37">
        <v>46023</v>
      </c>
      <c r="B2" s="1">
        <v>45000</v>
      </c>
    </row>
    <row r="3" spans="1:3" x14ac:dyDescent="0.3">
      <c r="A3" s="37">
        <v>46054</v>
      </c>
      <c r="B3" s="1">
        <v>48000</v>
      </c>
    </row>
    <row r="4" spans="1:3" x14ac:dyDescent="0.3">
      <c r="A4" s="37">
        <v>46082</v>
      </c>
      <c r="B4" s="1">
        <v>52000</v>
      </c>
    </row>
    <row r="5" spans="1:3" x14ac:dyDescent="0.3">
      <c r="A5" s="37">
        <v>46113</v>
      </c>
      <c r="B5" s="1">
        <v>55000</v>
      </c>
    </row>
    <row r="6" spans="1:3" x14ac:dyDescent="0.3">
      <c r="A6" s="37">
        <v>46143</v>
      </c>
      <c r="B6" s="1">
        <v>58000</v>
      </c>
    </row>
    <row r="7" spans="1:3" x14ac:dyDescent="0.3">
      <c r="A7" s="37">
        <v>46174</v>
      </c>
      <c r="B7" s="1">
        <v>62000</v>
      </c>
    </row>
    <row r="8" spans="1:3" x14ac:dyDescent="0.3">
      <c r="A8" s="37">
        <v>46204</v>
      </c>
      <c r="B8" s="1">
        <v>65000</v>
      </c>
    </row>
    <row r="9" spans="1:3" x14ac:dyDescent="0.3">
      <c r="A9" s="37">
        <v>46235</v>
      </c>
      <c r="B9" s="1">
        <v>69000</v>
      </c>
    </row>
    <row r="10" spans="1:3" x14ac:dyDescent="0.3">
      <c r="A10" s="37">
        <v>46266</v>
      </c>
      <c r="B10" s="1">
        <v>72000</v>
      </c>
    </row>
    <row r="11" spans="1:3" x14ac:dyDescent="0.3">
      <c r="A11" s="37">
        <v>46296</v>
      </c>
      <c r="B11" s="1">
        <v>76000</v>
      </c>
    </row>
    <row r="12" spans="1:3" x14ac:dyDescent="0.3">
      <c r="A12" s="37">
        <v>46327</v>
      </c>
      <c r="B12" s="1">
        <v>80000</v>
      </c>
    </row>
    <row r="13" spans="1:3" x14ac:dyDescent="0.3">
      <c r="A13" s="37">
        <v>46357</v>
      </c>
      <c r="B13" s="1">
        <v>84000</v>
      </c>
      <c r="C13" s="1">
        <v>84000</v>
      </c>
    </row>
    <row r="14" spans="1:3" x14ac:dyDescent="0.3">
      <c r="A14" s="37">
        <v>46388</v>
      </c>
      <c r="C14" s="1">
        <f t="shared" ref="C14:C20" si="0">_xlfn.FORECAST.ETS(A14,$B$2:$B$13,$A$2:$A$13,1,1)</f>
        <v>87905.380656479902</v>
      </c>
    </row>
    <row r="15" spans="1:3" x14ac:dyDescent="0.3">
      <c r="A15" s="37">
        <v>46419</v>
      </c>
      <c r="C15" s="1">
        <f t="shared" si="0"/>
        <v>91990.485336708938</v>
      </c>
    </row>
    <row r="16" spans="1:3" x14ac:dyDescent="0.3">
      <c r="A16" s="37">
        <v>46447</v>
      </c>
      <c r="C16" s="1">
        <f t="shared" si="0"/>
        <v>96075.590016937989</v>
      </c>
    </row>
    <row r="17" spans="1:3" x14ac:dyDescent="0.3">
      <c r="A17" s="37">
        <v>46478</v>
      </c>
      <c r="C17" s="1">
        <f t="shared" si="0"/>
        <v>100160.69469716703</v>
      </c>
    </row>
    <row r="18" spans="1:3" x14ac:dyDescent="0.3">
      <c r="A18" s="37">
        <v>46508</v>
      </c>
      <c r="C18" s="1">
        <f t="shared" si="0"/>
        <v>104245.79937739606</v>
      </c>
    </row>
    <row r="19" spans="1:3" x14ac:dyDescent="0.3">
      <c r="A19" s="37">
        <v>46539</v>
      </c>
      <c r="C19" s="1">
        <f t="shared" si="0"/>
        <v>108330.9040576251</v>
      </c>
    </row>
    <row r="20" spans="1:3" x14ac:dyDescent="0.3">
      <c r="A20" s="37">
        <v>46569</v>
      </c>
      <c r="C20" s="1">
        <f t="shared" si="0"/>
        <v>112416.00873785414</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8158E-C399-4123-917F-E4BCC5E859B4}">
  <dimension ref="B1:K5"/>
  <sheetViews>
    <sheetView showGridLines="0" workbookViewId="0">
      <selection activeCell="M22" sqref="M22"/>
    </sheetView>
  </sheetViews>
  <sheetFormatPr defaultRowHeight="14.4" x14ac:dyDescent="0.3"/>
  <cols>
    <col min="2" max="2" width="15.21875" customWidth="1"/>
    <col min="5" max="5" width="15" customWidth="1"/>
    <col min="6" max="6" width="12" customWidth="1"/>
    <col min="7" max="7" width="11.77734375" customWidth="1"/>
    <col min="8" max="8" width="12" customWidth="1"/>
  </cols>
  <sheetData>
    <row r="1" spans="2:11" ht="30.6" thickBot="1" x14ac:dyDescent="0.35">
      <c r="B1" s="75" t="s">
        <v>38</v>
      </c>
      <c r="C1" s="75"/>
      <c r="D1" s="75"/>
      <c r="E1" s="75"/>
      <c r="F1" s="75"/>
      <c r="G1" s="75"/>
      <c r="H1" s="75"/>
      <c r="I1" s="75"/>
      <c r="J1" s="75"/>
      <c r="K1" s="75"/>
    </row>
    <row r="2" spans="2:11" ht="15" thickBot="1" x14ac:dyDescent="0.35">
      <c r="B2" s="7" t="s">
        <v>41</v>
      </c>
      <c r="C2" s="7" t="s">
        <v>42</v>
      </c>
      <c r="E2" s="28" t="s">
        <v>0</v>
      </c>
      <c r="F2" s="28" t="s">
        <v>1</v>
      </c>
      <c r="G2" s="28" t="s">
        <v>43</v>
      </c>
      <c r="H2" s="28" t="s">
        <v>10</v>
      </c>
    </row>
    <row r="3" spans="2:11" x14ac:dyDescent="0.3">
      <c r="B3" s="8" t="s">
        <v>1</v>
      </c>
      <c r="C3" s="25">
        <v>450000</v>
      </c>
      <c r="E3" s="31" t="s">
        <v>5</v>
      </c>
      <c r="F3" s="29">
        <v>800000</v>
      </c>
      <c r="G3" s="29">
        <v>350000</v>
      </c>
      <c r="H3" s="32">
        <f>ScenarioManager13[[#This Row],[Sales]]-ScenarioManager13[[#This Row],[Expenses]]</f>
        <v>450000</v>
      </c>
    </row>
    <row r="4" spans="2:11" x14ac:dyDescent="0.3">
      <c r="B4" s="9" t="s">
        <v>43</v>
      </c>
      <c r="C4" s="26">
        <v>450000</v>
      </c>
      <c r="E4" s="33" t="s">
        <v>6</v>
      </c>
      <c r="F4" s="30">
        <v>600000</v>
      </c>
      <c r="G4" s="30">
        <v>400000</v>
      </c>
      <c r="H4" s="32">
        <f>ScenarioManager13[[#This Row],[Sales]]-ScenarioManager13[[#This Row],[Expenses]]</f>
        <v>200000</v>
      </c>
    </row>
    <row r="5" spans="2:11" x14ac:dyDescent="0.3">
      <c r="B5" s="10" t="s">
        <v>10</v>
      </c>
      <c r="C5" s="27">
        <f>C3-C4</f>
        <v>0</v>
      </c>
      <c r="E5" s="34" t="s">
        <v>7</v>
      </c>
      <c r="F5" s="35">
        <v>450000</v>
      </c>
      <c r="G5" s="35">
        <v>450000</v>
      </c>
      <c r="H5" s="36">
        <f>ScenarioManager13[[#This Row],[Sales]]-ScenarioManager13[[#This Row],[Expenses]]</f>
        <v>0</v>
      </c>
    </row>
  </sheetData>
  <scenarios current="2" show="2" sqref="C5">
    <scenario name="Normal Case" locked="1" count="2" user="Jeisa Mathew" comment="Created by Jeisa Mathew on 22-08-2026">
      <inputCells r="C3" val="600000" numFmtId="3"/>
      <inputCells r="C4" val="400000" numFmtId="3"/>
    </scenario>
    <scenario name="Best Case" locked="1" count="2" user="Jeisa Mathew" comment="Created by Jeisa Mathew on 22-08-2026">
      <inputCells r="C3" val="800000" numFmtId="3"/>
      <inputCells r="C4" val="350000" numFmtId="3"/>
    </scenario>
    <scenario name="Worst Case" locked="1" count="2" user="Jeisa Mathew" comment="Created by Jeisa Mathew on 22-08-2026">
      <inputCells r="C3" val="450000" numFmtId="3"/>
      <inputCells r="C4" val="450000" numFmtId="3"/>
    </scenario>
  </scenarios>
  <mergeCells count="1">
    <mergeCell ref="B1:K1"/>
  </mergeCells>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A7FD7-943C-4CEE-94E9-41026266ECCD}">
  <sheetPr>
    <outlinePr summaryBelow="0"/>
  </sheetPr>
  <dimension ref="B1:G12"/>
  <sheetViews>
    <sheetView showGridLines="0" workbookViewId="0">
      <selection activeCell="E7" sqref="E7"/>
    </sheetView>
  </sheetViews>
  <sheetFormatPr defaultRowHeight="14.4" outlineLevelRow="1" outlineLevelCol="1" x14ac:dyDescent="0.3"/>
  <cols>
    <col min="3" max="3" width="5.109375" bestFit="1" customWidth="1"/>
    <col min="4" max="7" width="13.109375" bestFit="1" customWidth="1" outlineLevel="1"/>
  </cols>
  <sheetData>
    <row r="1" spans="2:7" ht="15" thickBot="1" x14ac:dyDescent="0.35"/>
    <row r="2" spans="2:7" ht="15.6" x14ac:dyDescent="0.3">
      <c r="B2" s="39" t="s">
        <v>61</v>
      </c>
      <c r="C2" s="39"/>
      <c r="D2" s="42"/>
      <c r="E2" s="42"/>
      <c r="F2" s="42"/>
      <c r="G2" s="42"/>
    </row>
    <row r="3" spans="2:7" ht="15.6" collapsed="1" x14ac:dyDescent="0.3">
      <c r="B3" s="38"/>
      <c r="C3" s="38"/>
      <c r="D3" s="43" t="s">
        <v>63</v>
      </c>
      <c r="E3" s="43" t="s">
        <v>6</v>
      </c>
      <c r="F3" s="43" t="s">
        <v>5</v>
      </c>
      <c r="G3" s="43" t="s">
        <v>7</v>
      </c>
    </row>
    <row r="4" spans="2:7" ht="30.6" hidden="1" outlineLevel="1" x14ac:dyDescent="0.3">
      <c r="B4" s="58"/>
      <c r="C4" s="58"/>
      <c r="E4" s="60" t="s">
        <v>72</v>
      </c>
      <c r="F4" s="60" t="s">
        <v>72</v>
      </c>
      <c r="G4" s="60" t="s">
        <v>72</v>
      </c>
    </row>
    <row r="5" spans="2:7" x14ac:dyDescent="0.3">
      <c r="B5" s="40" t="s">
        <v>62</v>
      </c>
      <c r="C5" s="40"/>
      <c r="D5" s="57"/>
      <c r="E5" s="57"/>
      <c r="F5" s="57"/>
      <c r="G5" s="57"/>
    </row>
    <row r="6" spans="2:7" outlineLevel="1" x14ac:dyDescent="0.3">
      <c r="B6" s="58"/>
      <c r="C6" s="58" t="s">
        <v>58</v>
      </c>
      <c r="D6" s="1">
        <v>600000</v>
      </c>
      <c r="E6" s="59">
        <v>600000</v>
      </c>
      <c r="F6" s="59">
        <v>800000</v>
      </c>
      <c r="G6" s="59">
        <v>450000</v>
      </c>
    </row>
    <row r="7" spans="2:7" outlineLevel="1" x14ac:dyDescent="0.3">
      <c r="B7" s="58"/>
      <c r="C7" s="58" t="s">
        <v>59</v>
      </c>
      <c r="D7" s="1">
        <v>400000</v>
      </c>
      <c r="E7" s="59">
        <v>400000</v>
      </c>
      <c r="F7" s="59">
        <v>350000</v>
      </c>
      <c r="G7" s="59">
        <v>450000</v>
      </c>
    </row>
    <row r="8" spans="2:7" x14ac:dyDescent="0.3">
      <c r="B8" s="40" t="s">
        <v>64</v>
      </c>
      <c r="C8" s="40"/>
      <c r="D8" s="57"/>
      <c r="E8" s="57"/>
      <c r="F8" s="57"/>
      <c r="G8" s="57"/>
    </row>
    <row r="9" spans="2:7" ht="15" outlineLevel="1" thickBot="1" x14ac:dyDescent="0.35">
      <c r="B9" s="41"/>
      <c r="C9" s="41" t="s">
        <v>60</v>
      </c>
      <c r="D9" s="56">
        <v>200000</v>
      </c>
      <c r="E9" s="56">
        <v>200000</v>
      </c>
      <c r="F9" s="56">
        <v>450000</v>
      </c>
      <c r="G9" s="56">
        <v>0</v>
      </c>
    </row>
    <row r="10" spans="2:7" x14ac:dyDescent="0.3">
      <c r="B10" t="s">
        <v>65</v>
      </c>
    </row>
    <row r="11" spans="2:7" x14ac:dyDescent="0.3">
      <c r="B11" t="s">
        <v>66</v>
      </c>
    </row>
    <row r="12" spans="2:7" x14ac:dyDescent="0.3">
      <c r="B12" t="s">
        <v>67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71D5F-5801-4839-93CD-E3229E5B30FE}">
  <sheetPr codeName="Sheet5"/>
  <dimension ref="B1:M20"/>
  <sheetViews>
    <sheetView showGridLines="0" tabSelected="1" workbookViewId="0">
      <selection activeCell="K30" sqref="K30"/>
    </sheetView>
  </sheetViews>
  <sheetFormatPr defaultRowHeight="14.4" x14ac:dyDescent="0.3"/>
  <cols>
    <col min="2" max="2" width="12.5546875" bestFit="1" customWidth="1"/>
    <col min="3" max="3" width="12.109375" bestFit="1" customWidth="1"/>
    <col min="4" max="4" width="18.5546875" customWidth="1"/>
    <col min="5" max="5" width="16.88671875" customWidth="1"/>
    <col min="6" max="6" width="16.5546875" customWidth="1"/>
    <col min="7" max="7" width="14.88671875" customWidth="1"/>
    <col min="8" max="8" width="16.77734375" customWidth="1"/>
    <col min="9" max="9" width="9.88671875" customWidth="1"/>
    <col min="10" max="10" width="16.33203125" customWidth="1"/>
  </cols>
  <sheetData>
    <row r="1" spans="2:10" ht="30.6" thickBot="1" x14ac:dyDescent="0.35">
      <c r="B1" s="76" t="s">
        <v>39</v>
      </c>
      <c r="C1" s="76"/>
      <c r="D1" s="76"/>
      <c r="E1" s="76"/>
      <c r="F1" s="76"/>
      <c r="G1" s="76"/>
      <c r="H1" s="76"/>
      <c r="I1" s="4"/>
    </row>
    <row r="2" spans="2:10" ht="15" thickBot="1" x14ac:dyDescent="0.35">
      <c r="B2" s="14" t="s">
        <v>0</v>
      </c>
      <c r="C2" s="14" t="s">
        <v>1</v>
      </c>
      <c r="D2" s="14" t="s">
        <v>2</v>
      </c>
      <c r="E2" s="14" t="s">
        <v>3</v>
      </c>
      <c r="F2" s="14" t="s">
        <v>4</v>
      </c>
      <c r="G2" s="14" t="s">
        <v>8</v>
      </c>
      <c r="H2" s="14" t="s">
        <v>9</v>
      </c>
      <c r="I2" s="14" t="s">
        <v>10</v>
      </c>
      <c r="J2" s="14" t="s">
        <v>11</v>
      </c>
    </row>
    <row r="3" spans="2:10" x14ac:dyDescent="0.3">
      <c r="B3" s="13" t="s">
        <v>5</v>
      </c>
      <c r="C3" s="15">
        <v>900000</v>
      </c>
      <c r="D3" s="15">
        <v>200000</v>
      </c>
      <c r="E3" s="16">
        <v>0.4</v>
      </c>
      <c r="F3" s="15">
        <v>80000</v>
      </c>
      <c r="G3" s="15">
        <f>FoodDeliveryDataset3[[#This Row],[Sales]]*FoodDeliveryDataset3[[#This Row],[Variable Cost %]]</f>
        <v>360000</v>
      </c>
      <c r="H3" s="15">
        <f>FoodDeliveryDataset3[[#This Row],[Fixed Expenses]]+FoodDeliveryDataset3[[#This Row],[Variable Cost]]+FoodDeliveryDataset3[[#This Row],[Marketing Cost]]</f>
        <v>640000</v>
      </c>
      <c r="I3" s="15">
        <f>FoodDeliveryDataset3[[#This Row],[Sales]]-FoodDeliveryDataset3[[#This Row],[Total Expenses]]</f>
        <v>260000</v>
      </c>
      <c r="J3" s="17">
        <f>FoodDeliveryDataset3[[#This Row],[Profit]]/FoodDeliveryDataset3[[#This Row],[Sales]]*100</f>
        <v>28.888888888888886</v>
      </c>
    </row>
    <row r="4" spans="2:10" x14ac:dyDescent="0.3">
      <c r="B4" s="18" t="s">
        <v>6</v>
      </c>
      <c r="C4" s="12">
        <v>700000</v>
      </c>
      <c r="D4" s="12">
        <v>200000</v>
      </c>
      <c r="E4" s="19">
        <v>0.5</v>
      </c>
      <c r="F4" s="12">
        <v>60000</v>
      </c>
      <c r="G4" s="12">
        <f>FoodDeliveryDataset3[[#This Row],[Sales]]*FoodDeliveryDataset3[[#This Row],[Variable Cost %]]</f>
        <v>350000</v>
      </c>
      <c r="H4" s="12">
        <f>FoodDeliveryDataset3[[#This Row],[Fixed Expenses]]+FoodDeliveryDataset3[[#This Row],[Variable Cost]]+FoodDeliveryDataset3[[#This Row],[Marketing Cost]]</f>
        <v>610000</v>
      </c>
      <c r="I4" s="12">
        <f>FoodDeliveryDataset3[[#This Row],[Sales]]-FoodDeliveryDataset3[[#This Row],[Total Expenses]]</f>
        <v>90000</v>
      </c>
      <c r="J4" s="20">
        <f>FoodDeliveryDataset3[[#This Row],[Profit]]/FoodDeliveryDataset3[[#This Row],[Sales]]*100</f>
        <v>12.857142857142856</v>
      </c>
    </row>
    <row r="5" spans="2:10" x14ac:dyDescent="0.3">
      <c r="B5" s="21" t="s">
        <v>7</v>
      </c>
      <c r="C5" s="22">
        <v>500000</v>
      </c>
      <c r="D5" s="22">
        <v>220000</v>
      </c>
      <c r="E5" s="23">
        <v>0.6</v>
      </c>
      <c r="F5" s="12">
        <v>50000</v>
      </c>
      <c r="G5" s="12">
        <f>FoodDeliveryDataset3[[#This Row],[Sales]]*FoodDeliveryDataset3[[#This Row],[Variable Cost %]]</f>
        <v>300000</v>
      </c>
      <c r="H5" s="22">
        <f>FoodDeliveryDataset3[[#This Row],[Fixed Expenses]]+FoodDeliveryDataset3[[#This Row],[Variable Cost]]+FoodDeliveryDataset3[[#This Row],[Marketing Cost]]</f>
        <v>570000</v>
      </c>
      <c r="I5" s="22">
        <f>FoodDeliveryDataset3[[#This Row],[Sales]]-FoodDeliveryDataset3[[#This Row],[Total Expenses]]</f>
        <v>-70000</v>
      </c>
      <c r="J5" s="24">
        <f>FoodDeliveryDataset3[[#This Row],[Profit]]/FoodDeliveryDataset3[[#This Row],[Sales]]*100</f>
        <v>-14.000000000000002</v>
      </c>
    </row>
    <row r="10" spans="2:10" x14ac:dyDescent="0.3">
      <c r="C10" t="s">
        <v>12</v>
      </c>
      <c r="D10" t="s">
        <v>14</v>
      </c>
    </row>
    <row r="11" spans="2:10" x14ac:dyDescent="0.3">
      <c r="C11" s="2" t="s">
        <v>5</v>
      </c>
      <c r="D11" s="1">
        <v>260000</v>
      </c>
      <c r="G11" t="s">
        <v>12</v>
      </c>
      <c r="H11" t="s">
        <v>15</v>
      </c>
      <c r="I11" t="s">
        <v>16</v>
      </c>
    </row>
    <row r="12" spans="2:10" x14ac:dyDescent="0.3">
      <c r="C12" s="2" t="s">
        <v>6</v>
      </c>
      <c r="D12" s="1">
        <v>90000</v>
      </c>
      <c r="G12" s="2" t="s">
        <v>5</v>
      </c>
      <c r="H12" s="1">
        <v>900000</v>
      </c>
      <c r="I12" s="1">
        <v>640000</v>
      </c>
    </row>
    <row r="13" spans="2:10" x14ac:dyDescent="0.3">
      <c r="C13" s="2" t="s">
        <v>7</v>
      </c>
      <c r="D13" s="1">
        <v>-70000</v>
      </c>
      <c r="G13" s="2" t="s">
        <v>6</v>
      </c>
      <c r="H13" s="1">
        <v>700000</v>
      </c>
      <c r="I13" s="1">
        <v>610000</v>
      </c>
    </row>
    <row r="14" spans="2:10" x14ac:dyDescent="0.3">
      <c r="C14" s="2" t="s">
        <v>13</v>
      </c>
      <c r="D14" s="1">
        <v>280000</v>
      </c>
      <c r="G14" s="2" t="s">
        <v>7</v>
      </c>
      <c r="H14" s="1">
        <v>500000</v>
      </c>
      <c r="I14" s="1">
        <v>570000</v>
      </c>
    </row>
    <row r="15" spans="2:10" x14ac:dyDescent="0.3">
      <c r="G15" s="2" t="s">
        <v>13</v>
      </c>
      <c r="H15" s="1">
        <v>2100000</v>
      </c>
      <c r="I15" s="1">
        <v>1820000</v>
      </c>
    </row>
    <row r="17" spans="13:13" x14ac:dyDescent="0.3">
      <c r="M17" s="3"/>
    </row>
    <row r="18" spans="13:13" x14ac:dyDescent="0.3">
      <c r="M18" s="3"/>
    </row>
    <row r="19" spans="13:13" x14ac:dyDescent="0.3">
      <c r="M19" s="3"/>
    </row>
    <row r="20" spans="13:13" x14ac:dyDescent="0.3">
      <c r="M20" s="3"/>
    </row>
  </sheetData>
  <mergeCells count="1">
    <mergeCell ref="B1:H1"/>
  </mergeCells>
  <pageMargins left="0.7" right="0.7" top="0.75" bottom="0.75" header="0.3" footer="0.3"/>
  <drawing r:id="rId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CaseStudy-1</vt:lpstr>
      <vt:lpstr>Case Study 2</vt:lpstr>
      <vt:lpstr>Forecast Sheet</vt:lpstr>
      <vt:lpstr>CaseStudy-3</vt:lpstr>
      <vt:lpstr>Scenario Summary</vt:lpstr>
      <vt:lpstr>CaseStudy-4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JEISA MATHEW</dc:creator>
  <cp:lastModifiedBy>JEISA MATHEW</cp:lastModifiedBy>
  <dcterms:created xsi:type="dcterms:W3CDTF">2026-08-17T03:51:55Z</dcterms:created>
  <dcterms:modified xsi:type="dcterms:W3CDTF">2026-09-12T10:38:06Z</dcterms:modified>
</cp:coreProperties>
</file>